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vishwaj\Downloads\"/>
    </mc:Choice>
  </mc:AlternateContent>
  <xr:revisionPtr revIDLastSave="0" documentId="13_ncr:1_{34AD0BC5-27BC-4232-9CCE-50DEE1DD674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ales Data" sheetId="1" r:id="rId1"/>
    <sheet name="quests" sheetId="4" r:id="rId2"/>
    <sheet name="dashboard" sheetId="2" r:id="rId3"/>
    <sheet name="calc" sheetId="3" r:id="rId4"/>
    <sheet name="Sheet4" sheetId="5" r:id="rId5"/>
  </sheets>
  <definedNames>
    <definedName name="sales">Table1[]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0" i="5" l="1"/>
  <c r="L20" i="5"/>
  <c r="K20" i="5"/>
  <c r="M19" i="5"/>
  <c r="L19" i="5"/>
  <c r="K19" i="5"/>
  <c r="M18" i="5"/>
  <c r="L18" i="5"/>
  <c r="K18" i="5"/>
  <c r="M17" i="5"/>
  <c r="L17" i="5"/>
  <c r="K17" i="5"/>
  <c r="M16" i="5"/>
  <c r="L16" i="5"/>
  <c r="K16" i="5"/>
  <c r="M15" i="5"/>
  <c r="L15" i="5"/>
  <c r="K15" i="5"/>
  <c r="M14" i="5"/>
  <c r="L14" i="5"/>
  <c r="K14" i="5"/>
  <c r="E14" i="1"/>
  <c r="E15" i="1"/>
  <c r="E16" i="1"/>
  <c r="E17" i="1"/>
  <c r="E18" i="1"/>
  <c r="E19" i="1"/>
  <c r="E20" i="1"/>
  <c r="E21" i="1"/>
  <c r="E22" i="1"/>
  <c r="E13" i="1"/>
  <c r="H7" i="3"/>
  <c r="K7" i="3"/>
  <c r="I7" i="3"/>
  <c r="J7" i="3"/>
</calcChain>
</file>

<file path=xl/sharedStrings.xml><?xml version="1.0" encoding="utf-8"?>
<sst xmlns="http://schemas.openxmlformats.org/spreadsheetml/2006/main" count="136" uniqueCount="77">
  <si>
    <t>Date</t>
  </si>
  <si>
    <t>Region</t>
  </si>
  <si>
    <t>Salesperson</t>
  </si>
  <si>
    <t>Product</t>
  </si>
  <si>
    <t>Category</t>
  </si>
  <si>
    <t>Units Sold</t>
  </si>
  <si>
    <t>Revenue</t>
  </si>
  <si>
    <t>Cost</t>
  </si>
  <si>
    <t>Customer Rating</t>
  </si>
  <si>
    <t>01-01-2026</t>
  </si>
  <si>
    <t>South</t>
  </si>
  <si>
    <t>Ravi</t>
  </si>
  <si>
    <t>Laptop</t>
  </si>
  <si>
    <t>Electronics</t>
  </si>
  <si>
    <t>02-01-2026</t>
  </si>
  <si>
    <t>North</t>
  </si>
  <si>
    <t>Aman</t>
  </si>
  <si>
    <t>Phone</t>
  </si>
  <si>
    <t>03-01-2026</t>
  </si>
  <si>
    <t>West</t>
  </si>
  <si>
    <t>Sneha</t>
  </si>
  <si>
    <t>Shoes</t>
  </si>
  <si>
    <t>Fashion</t>
  </si>
  <si>
    <t>04-01-2026</t>
  </si>
  <si>
    <t>East</t>
  </si>
  <si>
    <t>Priya</t>
  </si>
  <si>
    <t>Watch</t>
  </si>
  <si>
    <t>Accessories</t>
  </si>
  <si>
    <t>05-01-2026</t>
  </si>
  <si>
    <t>Tablet</t>
  </si>
  <si>
    <t>06-01-2026</t>
  </si>
  <si>
    <t>T-shirt</t>
  </si>
  <si>
    <t>07-01-2026</t>
  </si>
  <si>
    <t>Bag</t>
  </si>
  <si>
    <t>08-01-2026</t>
  </si>
  <si>
    <t>09-01-2026</t>
  </si>
  <si>
    <t>10-01-2026</t>
  </si>
  <si>
    <t>🧠 Business Insight Questions</t>
  </si>
  <si>
    <r>
      <t xml:space="preserve">1. Which </t>
    </r>
    <r>
      <rPr>
        <b/>
        <sz val="11"/>
        <color theme="1"/>
        <rFont val="Calibri"/>
        <family val="2"/>
        <scheme val="minor"/>
      </rPr>
      <t>region generates highest revenue</t>
    </r>
    <r>
      <rPr>
        <sz val="11"/>
        <color theme="1"/>
        <rFont val="Calibri"/>
        <family val="2"/>
        <scheme val="minor"/>
      </rPr>
      <t>?</t>
    </r>
  </si>
  <si>
    <r>
      <t xml:space="preserve">2. Who is the </t>
    </r>
    <r>
      <rPr>
        <b/>
        <sz val="11"/>
        <color theme="1"/>
        <rFont val="Calibri"/>
        <family val="2"/>
        <scheme val="minor"/>
      </rPr>
      <t>top-performing salesperson</t>
    </r>
    <r>
      <rPr>
        <sz val="11"/>
        <color theme="1"/>
        <rFont val="Calibri"/>
        <family val="2"/>
        <scheme val="minor"/>
      </rPr>
      <t>?</t>
    </r>
  </si>
  <si>
    <r>
      <t xml:space="preserve">3. Which </t>
    </r>
    <r>
      <rPr>
        <b/>
        <sz val="11"/>
        <color theme="1"/>
        <rFont val="Calibri"/>
        <family val="2"/>
        <scheme val="minor"/>
      </rPr>
      <t>product category is most profitable</t>
    </r>
    <r>
      <rPr>
        <sz val="11"/>
        <color theme="1"/>
        <rFont val="Calibri"/>
        <family val="2"/>
        <scheme val="minor"/>
      </rPr>
      <t>?</t>
    </r>
  </si>
  <si>
    <r>
      <t xml:space="preserve">4. What is the </t>
    </r>
    <r>
      <rPr>
        <b/>
        <sz val="11"/>
        <color theme="1"/>
        <rFont val="Calibri"/>
        <family val="2"/>
        <scheme val="minor"/>
      </rPr>
      <t>trend of revenue over time</t>
    </r>
    <r>
      <rPr>
        <sz val="11"/>
        <color theme="1"/>
        <rFont val="Calibri"/>
        <family val="2"/>
        <scheme val="minor"/>
      </rPr>
      <t>?</t>
    </r>
  </si>
  <si>
    <r>
      <t xml:space="preserve">5. Which products have </t>
    </r>
    <r>
      <rPr>
        <b/>
        <sz val="11"/>
        <color theme="1"/>
        <rFont val="Calibri"/>
        <family val="2"/>
        <scheme val="minor"/>
      </rPr>
      <t>low ratings but high sales</t>
    </r>
    <r>
      <rPr>
        <sz val="11"/>
        <color theme="1"/>
        <rFont val="Calibri"/>
        <family val="2"/>
        <scheme val="minor"/>
      </rPr>
      <t>?</t>
    </r>
  </si>
  <si>
    <r>
      <t xml:space="preserve">6. Where is </t>
    </r>
    <r>
      <rPr>
        <b/>
        <sz val="11"/>
        <color theme="1"/>
        <rFont val="Calibri"/>
        <family val="2"/>
        <scheme val="minor"/>
      </rPr>
      <t>profit margin lowest</t>
    </r>
    <r>
      <rPr>
        <sz val="11"/>
        <color theme="1"/>
        <rFont val="Calibri"/>
        <family val="2"/>
        <scheme val="minor"/>
      </rPr>
      <t xml:space="preserve"> (risk area)?</t>
    </r>
  </si>
  <si>
    <r>
      <t xml:space="preserve">7. Which day had the </t>
    </r>
    <r>
      <rPr>
        <b/>
        <sz val="11"/>
        <color theme="1"/>
        <rFont val="Calibri"/>
        <family val="2"/>
        <scheme val="minor"/>
      </rPr>
      <t>highest sales spike</t>
    </r>
    <r>
      <rPr>
        <sz val="11"/>
        <color theme="1"/>
        <rFont val="Calibri"/>
        <family val="2"/>
        <scheme val="minor"/>
      </rPr>
      <t>?</t>
    </r>
  </si>
  <si>
    <r>
      <t xml:space="preserve">8. Which category contributes most to </t>
    </r>
    <r>
      <rPr>
        <b/>
        <sz val="11"/>
        <color theme="1"/>
        <rFont val="Calibri"/>
        <family val="2"/>
        <scheme val="minor"/>
      </rPr>
      <t>overall revenue</t>
    </r>
    <r>
      <rPr>
        <sz val="11"/>
        <color theme="1"/>
        <rFont val="Calibri"/>
        <family val="2"/>
        <scheme val="minor"/>
      </rPr>
      <t>?</t>
    </r>
  </si>
  <si>
    <t>🔹 Basic KPIs</t>
  </si>
  <si>
    <r>
      <t>Total Revenue</t>
    </r>
    <r>
      <rPr>
        <sz val="11"/>
        <color theme="1"/>
        <rFont val="Calibri"/>
        <family val="2"/>
        <scheme val="minor"/>
      </rPr>
      <t xml:space="preserve"> = SUM(Revenue)</t>
    </r>
  </si>
  <si>
    <r>
      <t>Total Profit</t>
    </r>
    <r>
      <rPr>
        <sz val="11"/>
        <color theme="1"/>
        <rFont val="Calibri"/>
        <family val="2"/>
        <scheme val="minor"/>
      </rPr>
      <t xml:space="preserve"> = SUM(Revenue - Cost)</t>
    </r>
  </si>
  <si>
    <t>Total Units Sold</t>
  </si>
  <si>
    <t>Average Customer Rating</t>
  </si>
  <si>
    <t>Sum of Cost</t>
  </si>
  <si>
    <t>Sum of Revenue</t>
  </si>
  <si>
    <t>Sum of Units Sold</t>
  </si>
  <si>
    <t>Average of Customer Rating</t>
  </si>
  <si>
    <t>for display</t>
  </si>
  <si>
    <t>Total cost</t>
  </si>
  <si>
    <t>Total revenue</t>
  </si>
  <si>
    <t>Units sold</t>
  </si>
  <si>
    <t>Avg rating</t>
  </si>
  <si>
    <t>Row Labels</t>
  </si>
  <si>
    <t>Grand Total</t>
  </si>
  <si>
    <t>day</t>
  </si>
  <si>
    <t>1 Jan</t>
  </si>
  <si>
    <t>2 Jan</t>
  </si>
  <si>
    <t>3 Jan</t>
  </si>
  <si>
    <t>4 Jan</t>
  </si>
  <si>
    <t>5 Jan</t>
  </si>
  <si>
    <t>6 Jan</t>
  </si>
  <si>
    <t>7 Jan</t>
  </si>
  <si>
    <t>8 Jan</t>
  </si>
  <si>
    <t>9 Jan</t>
  </si>
  <si>
    <t>10 Jan</t>
  </si>
  <si>
    <t>PRODUCT</t>
  </si>
  <si>
    <t>SALES</t>
  </si>
  <si>
    <t xml:space="preserve">RATING </t>
  </si>
  <si>
    <t>Sum of profit%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</si>
</sst>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2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10" fontId="0" fillId="0" borderId="0" xfId="0" applyNumberFormat="1"/>
    <xf numFmtId="0" fontId="1" fillId="0" borderId="0" xfId="0" applyFont="1"/>
  </cellXfs>
  <cellStyles count="1">
    <cellStyle name="Normal" xfId="0" builtinId="0"/>
  </cellStyles>
  <dxfs count="16">
    <dxf>
      <numFmt numFmtId="1" formatCode="0"/>
    </dxf>
    <dxf>
      <numFmt numFmtId="2" formatCode="0.00"/>
    </dxf>
    <dxf>
      <numFmt numFmtId="14" formatCode="0.00%"/>
    </dxf>
    <dxf>
      <numFmt numFmtId="164" formatCode="&quot;₹&quot;\ #,##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[sales_dashboard_data.xlsx]Sheet4!PivotTable2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/>
              <a:t>which region generates highest revenue</a:t>
            </a:r>
            <a:r>
              <a:rPr lang="en-IN"/>
              <a:t>?</a:t>
            </a:r>
          </a:p>
        </c:rich>
      </c:tx>
      <c:layout>
        <c:manualLayout>
          <c:xMode val="edge"/>
          <c:yMode val="edge"/>
          <c:x val="0.203696002520866"/>
          <c:y val="7.76829979585885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Sheet4!$D$4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Sheet4!$C$5:$C$9</c:f>
              <c:strCache>
                <c:ptCount val="4"/>
                <c:pt idx="0">
                  <c:v>South</c:v>
                </c:pt>
                <c:pt idx="1">
                  <c:v>East</c:v>
                </c:pt>
                <c:pt idx="2">
                  <c:v>North</c:v>
                </c:pt>
                <c:pt idx="3">
                  <c:v>West</c:v>
                </c:pt>
              </c:strCache>
            </c:strRef>
          </c:cat>
          <c:val>
            <c:numRef>
              <c:f>Sheet4!$D$5:$D$9</c:f>
              <c:numCache>
                <c:formatCode>General</c:formatCode>
                <c:ptCount val="4"/>
                <c:pt idx="0">
                  <c:v>350000</c:v>
                </c:pt>
                <c:pt idx="1">
                  <c:v>150000</c:v>
                </c:pt>
                <c:pt idx="2">
                  <c:v>140000</c:v>
                </c:pt>
                <c:pt idx="3">
                  <c:v>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02-4A61-8423-AC788E960E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895002432"/>
        <c:axId val="1895005312"/>
      </c:barChart>
      <c:catAx>
        <c:axId val="1895002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005312"/>
        <c:crosses val="autoZero"/>
        <c:auto val="1"/>
        <c:lblAlgn val="ctr"/>
        <c:lblOffset val="100"/>
        <c:noMultiLvlLbl val="0"/>
      </c:catAx>
      <c:valAx>
        <c:axId val="18950053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95002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[sales_dashboard_data.xlsx]Sheet4!PivotTable1</c:name>
    <c:fmtId val="9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/>
              <a:t>TOP</a:t>
            </a:r>
            <a:r>
              <a:rPr lang="en-IN" sz="1400" baseline="0"/>
              <a:t> PERFORMING SALES PERSON</a:t>
            </a:r>
            <a:endParaRPr lang="en-IN" sz="1400"/>
          </a:p>
        </c:rich>
      </c:tx>
      <c:layout>
        <c:manualLayout>
          <c:xMode val="edge"/>
          <c:yMode val="edge"/>
          <c:x val="0.16739664655848377"/>
          <c:y val="4.15282562411074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599029126695689"/>
          <c:y val="0.1754549489569463"/>
          <c:w val="0.84884453066925791"/>
          <c:h val="0.77572126054150026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Sheet4!$H$4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Sheet4!$G$5:$G$9</c:f>
              <c:strCache>
                <c:ptCount val="4"/>
                <c:pt idx="0">
                  <c:v>Ravi</c:v>
                </c:pt>
                <c:pt idx="1">
                  <c:v>Priya</c:v>
                </c:pt>
                <c:pt idx="2">
                  <c:v>Aman</c:v>
                </c:pt>
                <c:pt idx="3">
                  <c:v>Sneha</c:v>
                </c:pt>
              </c:strCache>
            </c:strRef>
          </c:cat>
          <c:val>
            <c:numRef>
              <c:f>Sheet4!$H$5:$H$9</c:f>
              <c:numCache>
                <c:formatCode>General</c:formatCode>
                <c:ptCount val="4"/>
                <c:pt idx="0">
                  <c:v>350000</c:v>
                </c:pt>
                <c:pt idx="1">
                  <c:v>150000</c:v>
                </c:pt>
                <c:pt idx="2">
                  <c:v>140000</c:v>
                </c:pt>
                <c:pt idx="3">
                  <c:v>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FE-4271-9607-C5A39762B02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001956175"/>
        <c:axId val="1001956655"/>
      </c:barChart>
      <c:catAx>
        <c:axId val="100195617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956655"/>
        <c:crosses val="autoZero"/>
        <c:auto val="1"/>
        <c:lblAlgn val="ctr"/>
        <c:lblOffset val="100"/>
        <c:noMultiLvlLbl val="0"/>
      </c:catAx>
      <c:valAx>
        <c:axId val="1001956655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01956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[sales_dashboard_data.xlsx]Sheet4!PivotTable3</c:name>
    <c:fmtId val="3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WHICH CATEGORY HAS HIGHEST PROFIT %</a:t>
            </a:r>
          </a:p>
        </c:rich>
      </c:tx>
      <c:layout>
        <c:manualLayout>
          <c:xMode val="edge"/>
          <c:yMode val="edge"/>
          <c:x val="0.15661778219487599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 rtl="0">
                <a:defRPr sz="900" b="0" i="0" u="none" strike="noStrike" kern="1200" baseline="0">
                  <a:solidFill>
                    <a:srgbClr val="1F497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p3d/>
        </c:spPr>
        <c:dLbl>
          <c:idx val="0"/>
          <c:layout>
            <c:manualLayout>
              <c:x val="-5.2777777777777778E-2"/>
              <c:y val="-4.6296296296296315E-2"/>
            </c:manualLayout>
          </c:layout>
          <c:tx>
            <c:rich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 rtl="0">
                  <a:defRPr sz="900" b="0" i="0" u="none" strike="noStrike" kern="1200" baseline="0">
                    <a:solidFill>
                      <a:srgbClr val="1F497D"/>
                    </a:solidFill>
                    <a:latin typeface="+mn-lt"/>
                    <a:ea typeface="+mn-ea"/>
                    <a:cs typeface="+mn-cs"/>
                  </a:defRPr>
                </a:pPr>
                <a:fld id="{B88594DA-02D1-4D58-BEE5-C95E3C9AEDD7}" type="CATEGORYNAME">
                  <a:rPr lang="en-US" b="1">
                    <a:solidFill>
                      <a:schemeClr val="tx1"/>
                    </a:solidFill>
                  </a:rPr>
                  <a:pPr algn="ctr" rtl="0">
                    <a:defRPr sz="900" b="0" i="0" u="none" strike="noStrike" kern="1200" baseline="0">
                      <a:solidFill>
                        <a:srgbClr val="1F497D"/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r>
                  <a:rPr lang="en-US" b="1">
                    <a:solidFill>
                      <a:schemeClr val="tx1"/>
                    </a:solidFill>
                  </a:rPr>
                  <a:t>, </a:t>
                </a:r>
                <a:fld id="{54F2CA13-D1DF-4476-9B9F-8330477D5D0B}" type="VALUE">
                  <a:rPr lang="en-US" b="1">
                    <a:solidFill>
                      <a:schemeClr val="tx1"/>
                    </a:solidFill>
                  </a:rPr>
                  <a:pPr algn="ctr" rtl="0">
                    <a:defRPr sz="900" b="0" i="0" u="none" strike="noStrike" kern="1200" baseline="0">
                      <a:solidFill>
                        <a:srgbClr val="1F497D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 b="1">
                  <a:solidFill>
                    <a:schemeClr val="tx1"/>
                  </a:solidFill>
                </a:endParaRP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 rtl="0">
                <a:defRPr sz="900" b="0" i="0" u="none" strike="noStrike" kern="1200" baseline="0">
                  <a:solidFill>
                    <a:srgbClr val="1F497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p3d/>
        </c:spPr>
        <c:dLbl>
          <c:idx val="0"/>
          <c:layout>
            <c:manualLayout>
              <c:x val="2.2222222222222119E-2"/>
              <c:y val="-0.1435185185185185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 rtl="0">
                <a:defRPr lang="en-US"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p3d/>
        </c:spPr>
        <c:dLbl>
          <c:idx val="0"/>
          <c:layout>
            <c:manualLayout>
              <c:x val="0"/>
              <c:y val="-2.777777777777777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 rtl="0">
                <a:defRPr lang="en-US"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 rtl="0">
                <a:defRPr sz="900" b="0" i="0" u="none" strike="noStrike" kern="1200" baseline="0">
                  <a:solidFill>
                    <a:srgbClr val="1F497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p3d/>
        </c:spPr>
        <c:dLbl>
          <c:idx val="0"/>
          <c:layout>
            <c:manualLayout>
              <c:x val="2.2222222222222119E-2"/>
              <c:y val="-0.1435185185185185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 rtl="0">
                <a:defRPr lang="en-US"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p3d/>
        </c:spPr>
        <c:dLbl>
          <c:idx val="0"/>
          <c:layout>
            <c:manualLayout>
              <c:x val="0"/>
              <c:y val="-2.777777777777777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 rtl="0">
                <a:defRPr lang="en-US"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p3d/>
        </c:spPr>
        <c:dLbl>
          <c:idx val="0"/>
          <c:layout>
            <c:manualLayout>
              <c:x val="-5.2777777777777778E-2"/>
              <c:y val="-4.6296296296296315E-2"/>
            </c:manualLayout>
          </c:layout>
          <c:tx>
            <c:rich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 rtl="0">
                  <a:defRPr sz="900" b="0" i="0" u="none" strike="noStrike" kern="1200" baseline="0">
                    <a:solidFill>
                      <a:srgbClr val="1F497D"/>
                    </a:solidFill>
                    <a:latin typeface="+mn-lt"/>
                    <a:ea typeface="+mn-ea"/>
                    <a:cs typeface="+mn-cs"/>
                  </a:defRPr>
                </a:pPr>
                <a:fld id="{B88594DA-02D1-4D58-BEE5-C95E3C9AEDD7}" type="CATEGORYNAME">
                  <a:rPr lang="en-US" b="1">
                    <a:solidFill>
                      <a:schemeClr val="tx1"/>
                    </a:solidFill>
                  </a:rPr>
                  <a:pPr algn="ctr" rtl="0">
                    <a:defRPr sz="900" b="0" i="0" u="none" strike="noStrike" kern="1200" baseline="0">
                      <a:solidFill>
                        <a:srgbClr val="1F497D"/>
                      </a:solidFill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r>
                  <a:rPr lang="en-US" b="1">
                    <a:solidFill>
                      <a:schemeClr val="tx1"/>
                    </a:solidFill>
                  </a:rPr>
                  <a:t>, </a:t>
                </a:r>
                <a:fld id="{54F2CA13-D1DF-4476-9B9F-8330477D5D0B}" type="VALUE">
                  <a:rPr lang="en-US" b="1">
                    <a:solidFill>
                      <a:schemeClr val="tx1"/>
                    </a:solidFill>
                  </a:rPr>
                  <a:pPr algn="ctr" rtl="0">
                    <a:defRPr sz="900" b="0" i="0" u="none" strike="noStrike" kern="1200" baseline="0">
                      <a:solidFill>
                        <a:srgbClr val="1F497D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 b="1">
                  <a:solidFill>
                    <a:schemeClr val="tx1"/>
                  </a:solidFill>
                </a:endParaRP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 rtl="0">
                <a:defRPr sz="900" b="0" i="0" u="none" strike="noStrike" kern="1200" baseline="0">
                  <a:solidFill>
                    <a:srgbClr val="1F497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 rtl="0">
                <a:defRPr sz="900" b="0" i="0" u="none" strike="noStrike" kern="1200" baseline="0">
                  <a:solidFill>
                    <a:srgbClr val="1F497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p3d/>
        </c:spPr>
        <c:dLbl>
          <c:idx val="0"/>
          <c:layout>
            <c:manualLayout>
              <c:x val="2.2222222222222119E-2"/>
              <c:y val="-0.1435185185185185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 rtl="0">
                <a:defRPr lang="en-US"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p3d/>
        </c:spPr>
        <c:dLbl>
          <c:idx val="0"/>
          <c:layout>
            <c:manualLayout>
              <c:x val="0"/>
              <c:y val="-2.777777777777777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 rtl="0">
                <a:defRPr lang="en-US"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p3d/>
        </c:spPr>
        <c:dLbl>
          <c:idx val="0"/>
          <c:layout>
            <c:manualLayout>
              <c:x val="-5.2777777777777778E-2"/>
              <c:y val="-4.6296296296296315E-2"/>
            </c:manualLayout>
          </c:layout>
          <c:tx>
            <c:rich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 rtl="0">
                  <a:defRPr sz="900" b="0" i="0" u="none" strike="noStrike" kern="1200" baseline="0">
                    <a:solidFill>
                      <a:srgbClr val="1F497D"/>
                    </a:solidFill>
                    <a:latin typeface="+mn-lt"/>
                    <a:ea typeface="+mn-ea"/>
                    <a:cs typeface="+mn-cs"/>
                  </a:defRPr>
                </a:pPr>
                <a:fld id="{B88594DA-02D1-4D58-BEE5-C95E3C9AEDD7}" type="CATEGORYNAME">
                  <a:rPr lang="en-US" b="1">
                    <a:solidFill>
                      <a:schemeClr val="tx1"/>
                    </a:solidFill>
                  </a:rPr>
                  <a:pPr algn="ctr" rtl="0">
                    <a:defRPr>
                      <a:solidFill>
                        <a:srgbClr val="1F497D"/>
                      </a:solidFill>
                    </a:defRPr>
                  </a:pPr>
                  <a:t>[CATEGORY NAME]</a:t>
                </a:fld>
                <a:r>
                  <a:rPr lang="en-US" b="1">
                    <a:solidFill>
                      <a:schemeClr val="tx1"/>
                    </a:solidFill>
                  </a:rPr>
                  <a:t>, </a:t>
                </a:r>
                <a:fld id="{54F2CA13-D1DF-4476-9B9F-8330477D5D0B}" type="VALUE">
                  <a:rPr lang="en-US" b="1">
                    <a:solidFill>
                      <a:schemeClr val="tx1"/>
                    </a:solidFill>
                  </a:rPr>
                  <a:pPr algn="ctr" rtl="0">
                    <a:defRPr>
                      <a:solidFill>
                        <a:srgbClr val="1F497D"/>
                      </a:solidFill>
                    </a:defRPr>
                  </a:pPr>
                  <a:t>[VALUE]</a:t>
                </a:fld>
                <a:endParaRPr lang="en-US" b="1">
                  <a:solidFill>
                    <a:schemeClr val="tx1"/>
                  </a:solidFill>
                </a:endParaRP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 rtl="0">
                <a:defRPr sz="900" b="0" i="0" u="none" strike="noStrike" kern="1200" baseline="0">
                  <a:solidFill>
                    <a:srgbClr val="1F497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3571397088896432E-2"/>
          <c:y val="0.29995443277923595"/>
          <c:w val="0.80119712396439013"/>
          <c:h val="0.56819079906678327"/>
        </c:manualLayout>
      </c:layout>
      <c:pie3DChart>
        <c:varyColors val="1"/>
        <c:ser>
          <c:idx val="0"/>
          <c:order val="0"/>
          <c:tx>
            <c:strRef>
              <c:f>Sheet4!$K$4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AFDF-4D81-B30C-2DE7D572C2E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AFDF-4D81-B30C-2DE7D572C2E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AFDF-4D81-B30C-2DE7D572C2E9}"/>
              </c:ext>
            </c:extLst>
          </c:dPt>
          <c:dLbls>
            <c:dLbl>
              <c:idx val="0"/>
              <c:layout>
                <c:manualLayout>
                  <c:x val="2.2222222222222119E-2"/>
                  <c:y val="-0.1435185185185185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FDF-4D81-B30C-2DE7D572C2E9}"/>
                </c:ext>
              </c:extLst>
            </c:dLbl>
            <c:dLbl>
              <c:idx val="1"/>
              <c:layout>
                <c:manualLayout>
                  <c:x val="0"/>
                  <c:y val="-2.777777777777777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FDF-4D81-B30C-2DE7D572C2E9}"/>
                </c:ext>
              </c:extLst>
            </c:dLbl>
            <c:dLbl>
              <c:idx val="2"/>
              <c:layout>
                <c:manualLayout>
                  <c:x val="-5.2777777777777778E-2"/>
                  <c:y val="-4.6296296296296315E-2"/>
                </c:manualLayout>
              </c:layout>
              <c:tx>
                <c:rich>
                  <a:bodyPr/>
                  <a:lstStyle/>
                  <a:p>
                    <a:fld id="{B88594DA-02D1-4D58-BEE5-C95E3C9AEDD7}" type="CATEGORYNAME">
                      <a:rPr lang="en-US" b="1">
                        <a:solidFill>
                          <a:schemeClr val="tx1"/>
                        </a:solidFill>
                      </a:rPr>
                      <a:pPr/>
                      <a:t>[CATEGORY NAME]</a:t>
                    </a:fld>
                    <a:r>
                      <a:rPr lang="en-US" b="1">
                        <a:solidFill>
                          <a:schemeClr val="tx1"/>
                        </a:solidFill>
                      </a:rPr>
                      <a:t>, </a:t>
                    </a:r>
                    <a:fld id="{54F2CA13-D1DF-4476-9B9F-8330477D5D0B}" type="VALUE">
                      <a:rPr lang="en-US" b="1">
                        <a:solidFill>
                          <a:schemeClr val="tx1"/>
                        </a:solidFill>
                      </a:rPr>
                      <a:pPr/>
                      <a:t>[VALUE]</a:t>
                    </a:fld>
                    <a:endParaRPr lang="en-US" b="1">
                      <a:solidFill>
                        <a:schemeClr val="tx1"/>
                      </a:solidFill>
                    </a:endParaRPr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AFDF-4D81-B30C-2DE7D572C2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 rtl="0">
                  <a:defRPr sz="900" b="0" i="0" u="none" strike="noStrike" kern="1200" baseline="0">
                    <a:solidFill>
                      <a:srgbClr val="1F497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Sheet4!$J$5:$J$8</c:f>
              <c:strCache>
                <c:ptCount val="3"/>
                <c:pt idx="0">
                  <c:v>Electronics</c:v>
                </c:pt>
                <c:pt idx="1">
                  <c:v>Fashion</c:v>
                </c:pt>
                <c:pt idx="2">
                  <c:v>Accessories</c:v>
                </c:pt>
              </c:strCache>
            </c:strRef>
          </c:cat>
          <c:val>
            <c:numRef>
              <c:f>Sheet4!$K$5:$K$8</c:f>
              <c:numCache>
                <c:formatCode>0.00%</c:formatCode>
                <c:ptCount val="3"/>
                <c:pt idx="0">
                  <c:v>0.63088512241054617</c:v>
                </c:pt>
                <c:pt idx="1">
                  <c:v>0.2071563088512241</c:v>
                </c:pt>
                <c:pt idx="2">
                  <c:v>0.16195856873822975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FDF-4D81-B30C-2DE7D572C2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[sales_dashboard_data.xlsx]Sheet4!PivotTable7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/>
              <a:t>trend</a:t>
            </a:r>
            <a:r>
              <a:rPr lang="en-IN" sz="1400" baseline="0"/>
              <a:t> of revenue</a:t>
            </a:r>
            <a:endParaRPr lang="en-IN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numFmt formatCode="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3.1625116278459375E-2"/>
              <c:y val="-6.2465368912219307E-2"/>
            </c:manualLayout>
          </c:layout>
          <c:numFmt formatCode="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numFmt formatCode="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3.1625116278459375E-2"/>
              <c:y val="-6.2465368912219307E-2"/>
            </c:manualLayout>
          </c:layout>
          <c:numFmt formatCode="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numFmt formatCode="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3.1625116278459375E-2"/>
              <c:y val="-6.2465368912219307E-2"/>
            </c:manualLayout>
          </c:layout>
          <c:numFmt formatCode="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Sheet4!$D$13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Pt>
            <c:idx val="1"/>
            <c:marker>
              <c:symbol val="diamond"/>
              <c:size val="6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  <a:round/>
                </a:ln>
                <a:effectLst/>
              </c:spPr>
            </c:marker>
            <c:bubble3D val="0"/>
            <c:spPr>
              <a:ln w="2222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D842-4741-B3F8-574214F74810}"/>
              </c:ext>
            </c:extLst>
          </c:dPt>
          <c:dLbls>
            <c:dLbl>
              <c:idx val="1"/>
              <c:layout>
                <c:manualLayout>
                  <c:x val="-3.1625116278459375E-2"/>
                  <c:y val="-6.24653689122193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842-4741-B3F8-574214F74810}"/>
                </c:ext>
              </c:extLst>
            </c:dLbl>
            <c:numFmt formatCode="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Sheet4!$C$14:$C$24</c:f>
              <c:strCache>
                <c:ptCount val="10"/>
                <c:pt idx="0">
                  <c:v>1 Jan</c:v>
                </c:pt>
                <c:pt idx="1">
                  <c:v>2 Jan</c:v>
                </c:pt>
                <c:pt idx="2">
                  <c:v>3 Jan</c:v>
                </c:pt>
                <c:pt idx="3">
                  <c:v>4 Jan</c:v>
                </c:pt>
                <c:pt idx="4">
                  <c:v>5 Jan</c:v>
                </c:pt>
                <c:pt idx="5">
                  <c:v>6 Jan</c:v>
                </c:pt>
                <c:pt idx="6">
                  <c:v>7 Jan</c:v>
                </c:pt>
                <c:pt idx="7">
                  <c:v>8 Jan</c:v>
                </c:pt>
                <c:pt idx="8">
                  <c:v>9 Jan</c:v>
                </c:pt>
                <c:pt idx="9">
                  <c:v>10 Jan</c:v>
                </c:pt>
              </c:strCache>
            </c:strRef>
          </c:cat>
          <c:val>
            <c:numRef>
              <c:f>Sheet4!$D$14:$D$24</c:f>
              <c:numCache>
                <c:formatCode>General</c:formatCode>
                <c:ptCount val="10"/>
                <c:pt idx="0">
                  <c:v>250000</c:v>
                </c:pt>
                <c:pt idx="1">
                  <c:v>150000</c:v>
                </c:pt>
                <c:pt idx="2">
                  <c:v>80000</c:v>
                </c:pt>
                <c:pt idx="3">
                  <c:v>60000</c:v>
                </c:pt>
                <c:pt idx="4">
                  <c:v>120000</c:v>
                </c:pt>
                <c:pt idx="5">
                  <c:v>50000</c:v>
                </c:pt>
                <c:pt idx="6">
                  <c:v>72000</c:v>
                </c:pt>
                <c:pt idx="7">
                  <c:v>150000</c:v>
                </c:pt>
                <c:pt idx="8">
                  <c:v>90000</c:v>
                </c:pt>
                <c:pt idx="9">
                  <c:v>40000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42-4741-B3F8-574214F7481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1991968"/>
        <c:axId val="1151992928"/>
      </c:lineChart>
      <c:catAx>
        <c:axId val="1151991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992928"/>
        <c:crosses val="autoZero"/>
        <c:auto val="1"/>
        <c:lblAlgn val="ctr"/>
        <c:lblOffset val="100"/>
        <c:noMultiLvlLbl val="0"/>
      </c:catAx>
      <c:valAx>
        <c:axId val="1151992928"/>
        <c:scaling>
          <c:orientation val="minMax"/>
        </c:scaling>
        <c:delete val="0"/>
        <c:axPos val="l"/>
        <c:numFmt formatCode="0,&quot;k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991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[sales_dashboard_data.xlsx]Sheet4!PivotTable5</c:name>
    <c:fmtId val="8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/>
              <a:t>where</a:t>
            </a:r>
            <a:r>
              <a:rPr lang="en-IN" sz="1400" baseline="0"/>
              <a:t> is lowest profit margin?</a:t>
            </a:r>
            <a:endParaRPr lang="en-IN" sz="1400"/>
          </a:p>
        </c:rich>
      </c:tx>
      <c:layout>
        <c:manualLayout>
          <c:xMode val="edge"/>
          <c:yMode val="edge"/>
          <c:x val="0.14355222195634937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B0B9062E-D274-457E-A27D-BC5C39CE1934}" type="VALUE">
                  <a:rPr lang="en-US"/>
                  <a:pPr>
                    <a:defRPr sz="9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r>
                  <a:rPr lang="en-US"/>
                  <a:t>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1.69%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1.31%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1.31%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1.69%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B0B9062E-D274-457E-A27D-BC5C39CE1934}" type="VALUE">
                  <a:rPr lang="en-US"/>
                  <a:pPr>
                    <a:defRPr sz="900" b="0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r>
                  <a:rPr lang="en-US"/>
                  <a:t>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1.31%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1.69%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B0B9062E-D274-457E-A27D-BC5C39CE1934}" type="VALUE">
                  <a:rPr lang="en-US"/>
                  <a:pPr>
                    <a:defRPr/>
                  </a:pPr>
                  <a:t>[VALUE]</a:t>
                </a:fld>
                <a:r>
                  <a:rPr lang="en-US"/>
                  <a:t>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2749089562491123"/>
          <c:y val="0.16708343372644016"/>
          <c:w val="0.77160870516185476"/>
          <c:h val="0.77736111111111106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Sheet4!$K$24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C795-4908-91AB-C1579A77BB5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795-4908-91AB-C1579A77BB5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795-4908-91AB-C1579A77BB5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1.31%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C795-4908-91AB-C1579A77BB5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1.69%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C795-4908-91AB-C1579A77BB5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0B9062E-D274-457E-A27D-BC5C39CE1934}" type="VALUE">
                      <a:rPr lang="en-US"/>
                      <a:pPr/>
                      <a:t>[VALUE]</a:t>
                    </a:fld>
                    <a:r>
                      <a:rPr lang="en-US"/>
                      <a:t>%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C795-4908-91AB-C1579A77BB5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Sheet4!$J$25:$J$28</c:f>
              <c:strCache>
                <c:ptCount val="3"/>
                <c:pt idx="0">
                  <c:v>Electronics</c:v>
                </c:pt>
                <c:pt idx="1">
                  <c:v>Fashion</c:v>
                </c:pt>
                <c:pt idx="2">
                  <c:v>Accessories</c:v>
                </c:pt>
              </c:strCache>
            </c:strRef>
          </c:cat>
          <c:val>
            <c:numRef>
              <c:f>Sheet4!$K$25:$K$28</c:f>
              <c:numCache>
                <c:formatCode>0.00</c:formatCode>
                <c:ptCount val="3"/>
                <c:pt idx="0">
                  <c:v>1.3137254901960784</c:v>
                </c:pt>
                <c:pt idx="1">
                  <c:v>1.6923076923076923</c:v>
                </c:pt>
                <c:pt idx="2">
                  <c:v>1.9111111111111112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95-4908-91AB-C1579A77BB5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47445600"/>
        <c:axId val="147442720"/>
      </c:barChart>
      <c:catAx>
        <c:axId val="147445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42720"/>
        <c:crosses val="autoZero"/>
        <c:auto val="1"/>
        <c:lblAlgn val="ctr"/>
        <c:lblOffset val="100"/>
        <c:noMultiLvlLbl val="0"/>
      </c:catAx>
      <c:valAx>
        <c:axId val="147442720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147445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image" Target="../media/image1.emf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411080</xdr:colOff>
      <xdr:row>3</xdr:row>
      <xdr:rowOff>160421</xdr:rowOff>
    </xdr:from>
    <xdr:to>
      <xdr:col>3</xdr:col>
      <xdr:colOff>512546</xdr:colOff>
      <xdr:row>58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5E0162D-2158-595E-BF1D-DAF2E4C73F67}"/>
            </a:ext>
          </a:extLst>
        </xdr:cNvPr>
        <xdr:cNvSpPr/>
      </xdr:nvSpPr>
      <xdr:spPr>
        <a:xfrm>
          <a:off x="411080" y="701842"/>
          <a:ext cx="1936282" cy="9765632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417987</xdr:colOff>
      <xdr:row>3</xdr:row>
      <xdr:rowOff>149377</xdr:rowOff>
    </xdr:from>
    <xdr:to>
      <xdr:col>26</xdr:col>
      <xdr:colOff>129851</xdr:colOff>
      <xdr:row>58</xdr:row>
      <xdr:rowOff>19035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595E7BF-0B26-C1BF-87EB-01809E0545D0}"/>
            </a:ext>
          </a:extLst>
        </xdr:cNvPr>
        <xdr:cNvSpPr/>
      </xdr:nvSpPr>
      <xdr:spPr>
        <a:xfrm>
          <a:off x="2240161" y="712594"/>
          <a:ext cx="14002125" cy="10195311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265937</xdr:colOff>
      <xdr:row>12</xdr:row>
      <xdr:rowOff>169932</xdr:rowOff>
    </xdr:from>
    <xdr:to>
      <xdr:col>9</xdr:col>
      <xdr:colOff>39850</xdr:colOff>
      <xdr:row>19</xdr:row>
      <xdr:rowOff>50132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182DD0EE-3D0F-CACC-E232-C3B6B89851AD}"/>
            </a:ext>
          </a:extLst>
        </xdr:cNvPr>
        <xdr:cNvSpPr/>
      </xdr:nvSpPr>
      <xdr:spPr>
        <a:xfrm>
          <a:off x="3374095" y="2335616"/>
          <a:ext cx="2460966" cy="114351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706175</xdr:colOff>
      <xdr:row>16</xdr:row>
      <xdr:rowOff>5582</xdr:rowOff>
    </xdr:from>
    <xdr:to>
      <xdr:col>8</xdr:col>
      <xdr:colOff>276330</xdr:colOff>
      <xdr:row>17</xdr:row>
      <xdr:rowOff>140955</xdr:rowOff>
    </xdr:to>
    <xdr:sp macro="" textlink="calc!C7">
      <xdr:nvSpPr>
        <xdr:cNvPr id="8" name="TextBox 7">
          <a:extLst>
            <a:ext uri="{FF2B5EF4-FFF2-40B4-BE49-F238E27FC236}">
              <a16:creationId xmlns:a16="http://schemas.microsoft.com/office/drawing/2014/main" id="{32846AA3-4501-4024-68BF-3C8369D0C988}"/>
            </a:ext>
          </a:extLst>
        </xdr:cNvPr>
        <xdr:cNvSpPr txBox="1"/>
      </xdr:nvSpPr>
      <xdr:spPr>
        <a:xfrm>
          <a:off x="3793252" y="2975428"/>
          <a:ext cx="1651001" cy="32098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A173A16-69BB-4D2C-A1A9-C3FAF047454D}" type="TxLink">
            <a:rPr lang="en-US" sz="18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₹ 7,30,000</a:t>
          </a:fld>
          <a:endParaRPr lang="en-IN" sz="1800" b="0"/>
        </a:p>
      </xdr:txBody>
    </xdr:sp>
    <xdr:clientData/>
  </xdr:twoCellAnchor>
  <xdr:twoCellAnchor>
    <xdr:from>
      <xdr:col>5</xdr:col>
      <xdr:colOff>480087</xdr:colOff>
      <xdr:row>13</xdr:row>
      <xdr:rowOff>153516</xdr:rowOff>
    </xdr:from>
    <xdr:to>
      <xdr:col>9</xdr:col>
      <xdr:colOff>78153</xdr:colOff>
      <xdr:row>15</xdr:row>
      <xdr:rowOff>178638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49A4919-02CE-E26D-DAB2-0CBB5C4B87E1}"/>
            </a:ext>
          </a:extLst>
        </xdr:cNvPr>
        <xdr:cNvSpPr txBox="1"/>
      </xdr:nvSpPr>
      <xdr:spPr>
        <a:xfrm>
          <a:off x="3567164" y="2566516"/>
          <a:ext cx="2284604" cy="3963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/>
            <a:t>TOTAL SALES</a:t>
          </a:r>
          <a:r>
            <a:rPr lang="en-US" sz="2000" b="1"/>
            <a:t>🛒</a:t>
          </a:r>
          <a:endParaRPr lang="en-IN" sz="2000" b="1"/>
        </a:p>
      </xdr:txBody>
    </xdr:sp>
    <xdr:clientData/>
  </xdr:twoCellAnchor>
  <xdr:twoCellAnchor>
    <xdr:from>
      <xdr:col>10</xdr:col>
      <xdr:colOff>84763</xdr:colOff>
      <xdr:row>12</xdr:row>
      <xdr:rowOff>178564</xdr:rowOff>
    </xdr:from>
    <xdr:to>
      <xdr:col>14</xdr:col>
      <xdr:colOff>68018</xdr:colOff>
      <xdr:row>19</xdr:row>
      <xdr:rowOff>70184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6A1B12D1-9C68-4A73-135C-ED2E4E74BDC0}"/>
            </a:ext>
          </a:extLst>
        </xdr:cNvPr>
        <xdr:cNvSpPr/>
      </xdr:nvSpPr>
      <xdr:spPr>
        <a:xfrm>
          <a:off x="6491579" y="2344248"/>
          <a:ext cx="2429676" cy="115493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153519</xdr:colOff>
      <xdr:row>13</xdr:row>
      <xdr:rowOff>11164</xdr:rowOff>
    </xdr:from>
    <xdr:to>
      <xdr:col>18</xdr:col>
      <xdr:colOff>488463</xdr:colOff>
      <xdr:row>19</xdr:row>
      <xdr:rowOff>80211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70DB044-CAAA-E094-32EF-6D9ADB46A1D7}"/>
            </a:ext>
          </a:extLst>
        </xdr:cNvPr>
        <xdr:cNvSpPr/>
      </xdr:nvSpPr>
      <xdr:spPr>
        <a:xfrm>
          <a:off x="9618361" y="2357322"/>
          <a:ext cx="2169760" cy="115188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120024</xdr:colOff>
      <xdr:row>13</xdr:row>
      <xdr:rowOff>3747</xdr:rowOff>
    </xdr:from>
    <xdr:to>
      <xdr:col>23</xdr:col>
      <xdr:colOff>583364</xdr:colOff>
      <xdr:row>19</xdr:row>
      <xdr:rowOff>50132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AAA0649-FA07-8D0B-4D6C-5F83DD627AFE}"/>
            </a:ext>
          </a:extLst>
        </xdr:cNvPr>
        <xdr:cNvSpPr/>
      </xdr:nvSpPr>
      <xdr:spPr>
        <a:xfrm>
          <a:off x="12642892" y="2349905"/>
          <a:ext cx="2298156" cy="112922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135372</xdr:colOff>
      <xdr:row>13</xdr:row>
      <xdr:rowOff>125605</xdr:rowOff>
    </xdr:from>
    <xdr:to>
      <xdr:col>14</xdr:col>
      <xdr:colOff>60010</xdr:colOff>
      <xdr:row>15</xdr:row>
      <xdr:rowOff>175847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AFBEB6C-AF2B-6982-25E4-2B417700D347}"/>
            </a:ext>
          </a:extLst>
        </xdr:cNvPr>
        <xdr:cNvSpPr txBox="1"/>
      </xdr:nvSpPr>
      <xdr:spPr>
        <a:xfrm>
          <a:off x="6514680" y="2538605"/>
          <a:ext cx="2347407" cy="421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/>
            <a:t>TOTAL REVENUE</a:t>
          </a:r>
          <a:r>
            <a:rPr lang="en-US" sz="2000" b="1"/>
            <a:t>💵</a:t>
          </a:r>
          <a:endParaRPr lang="en-IN" sz="2000" b="1"/>
        </a:p>
      </xdr:txBody>
    </xdr:sp>
    <xdr:clientData/>
  </xdr:twoCellAnchor>
  <xdr:twoCellAnchor>
    <xdr:from>
      <xdr:col>10</xdr:col>
      <xdr:colOff>605582</xdr:colOff>
      <xdr:row>16</xdr:row>
      <xdr:rowOff>6795</xdr:rowOff>
    </xdr:from>
    <xdr:to>
      <xdr:col>14</xdr:col>
      <xdr:colOff>34450</xdr:colOff>
      <xdr:row>17</xdr:row>
      <xdr:rowOff>137027</xdr:rowOff>
    </xdr:to>
    <xdr:sp macro="" textlink="calc!D7">
      <xdr:nvSpPr>
        <xdr:cNvPr id="14" name="TextBox 13">
          <a:extLst>
            <a:ext uri="{FF2B5EF4-FFF2-40B4-BE49-F238E27FC236}">
              <a16:creationId xmlns:a16="http://schemas.microsoft.com/office/drawing/2014/main" id="{8C2928A3-F275-ADAD-4746-CE9B110E0D37}"/>
            </a:ext>
          </a:extLst>
        </xdr:cNvPr>
        <xdr:cNvSpPr txBox="1"/>
      </xdr:nvSpPr>
      <xdr:spPr>
        <a:xfrm>
          <a:off x="7012398" y="2894374"/>
          <a:ext cx="1875289" cy="3107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B5C11EC7-395B-42DF-9148-DB4A0E992CBF}" type="TxLink">
            <a:rPr lang="en-US" sz="18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₹ 10,62,000</a:t>
          </a:fld>
          <a:endParaRPr lang="en-IN" sz="1800"/>
        </a:p>
      </xdr:txBody>
    </xdr:sp>
    <xdr:clientData/>
  </xdr:twoCellAnchor>
  <xdr:twoCellAnchor>
    <xdr:from>
      <xdr:col>15</xdr:col>
      <xdr:colOff>332154</xdr:colOff>
      <xdr:row>13</xdr:row>
      <xdr:rowOff>152121</xdr:rowOff>
    </xdr:from>
    <xdr:to>
      <xdr:col>18</xdr:col>
      <xdr:colOff>482879</xdr:colOff>
      <xdr:row>16</xdr:row>
      <xdr:rowOff>33495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1AD48D87-B091-4B34-AD0A-AC96A387BA53}"/>
            </a:ext>
          </a:extLst>
        </xdr:cNvPr>
        <xdr:cNvSpPr txBox="1"/>
      </xdr:nvSpPr>
      <xdr:spPr>
        <a:xfrm>
          <a:off x="9739923" y="2565121"/>
          <a:ext cx="1967802" cy="4382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/>
            <a:t>UNIT</a:t>
          </a:r>
          <a:r>
            <a:rPr lang="en-IN" sz="2000" b="1" baseline="0"/>
            <a:t>S SOLD</a:t>
          </a:r>
          <a:r>
            <a:rPr lang="en-US" sz="2000" b="1" baseline="0"/>
            <a:t>🎟️</a:t>
          </a:r>
          <a:endParaRPr lang="en-IN" sz="2000" b="1"/>
        </a:p>
      </xdr:txBody>
    </xdr:sp>
    <xdr:clientData/>
  </xdr:twoCellAnchor>
  <xdr:twoCellAnchor>
    <xdr:from>
      <xdr:col>16</xdr:col>
      <xdr:colOff>302845</xdr:colOff>
      <xdr:row>16</xdr:row>
      <xdr:rowOff>4187</xdr:rowOff>
    </xdr:from>
    <xdr:to>
      <xdr:col>18</xdr:col>
      <xdr:colOff>294473</xdr:colOff>
      <xdr:row>17</xdr:row>
      <xdr:rowOff>122813</xdr:rowOff>
    </xdr:to>
    <xdr:sp macro="" textlink="calc!E7">
      <xdr:nvSpPr>
        <xdr:cNvPr id="16" name="TextBox 15">
          <a:extLst>
            <a:ext uri="{FF2B5EF4-FFF2-40B4-BE49-F238E27FC236}">
              <a16:creationId xmlns:a16="http://schemas.microsoft.com/office/drawing/2014/main" id="{BFF79DF8-167A-7CD9-0053-85089C85DC3A}"/>
            </a:ext>
          </a:extLst>
        </xdr:cNvPr>
        <xdr:cNvSpPr txBox="1"/>
      </xdr:nvSpPr>
      <xdr:spPr>
        <a:xfrm>
          <a:off x="10316307" y="2974033"/>
          <a:ext cx="1203012" cy="304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D4885E1-96D4-48D2-A65D-8B83866A065A}" type="TxLink">
            <a:rPr lang="en-US" sz="18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126</a:t>
          </a:fld>
          <a:endParaRPr lang="en-IN" sz="1800"/>
        </a:p>
      </xdr:txBody>
    </xdr:sp>
    <xdr:clientData/>
  </xdr:twoCellAnchor>
  <xdr:twoCellAnchor>
    <xdr:from>
      <xdr:col>20</xdr:col>
      <xdr:colOff>397747</xdr:colOff>
      <xdr:row>13</xdr:row>
      <xdr:rowOff>182822</xdr:rowOff>
    </xdr:from>
    <xdr:to>
      <xdr:col>23</xdr:col>
      <xdr:colOff>573593</xdr:colOff>
      <xdr:row>16</xdr:row>
      <xdr:rowOff>39076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48866096-9971-9680-032B-54080098314A}"/>
            </a:ext>
          </a:extLst>
        </xdr:cNvPr>
        <xdr:cNvSpPr txBox="1"/>
      </xdr:nvSpPr>
      <xdr:spPr>
        <a:xfrm>
          <a:off x="12833978" y="2595822"/>
          <a:ext cx="1992923" cy="413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/>
            <a:t>AVG RATING</a:t>
          </a:r>
          <a:r>
            <a:rPr lang="en-US" sz="2000" b="1"/>
            <a:t>⭐</a:t>
          </a:r>
          <a:endParaRPr lang="en-IN" sz="2000" b="1"/>
        </a:p>
      </xdr:txBody>
    </xdr:sp>
    <xdr:clientData/>
  </xdr:twoCellAnchor>
  <xdr:twoCellAnchor>
    <xdr:from>
      <xdr:col>21</xdr:col>
      <xdr:colOff>329364</xdr:colOff>
      <xdr:row>16</xdr:row>
      <xdr:rowOff>8374</xdr:rowOff>
    </xdr:from>
    <xdr:to>
      <xdr:col>22</xdr:col>
      <xdr:colOff>287496</xdr:colOff>
      <xdr:row>17</xdr:row>
      <xdr:rowOff>143747</xdr:rowOff>
    </xdr:to>
    <xdr:sp macro="" textlink="calc!F7">
      <xdr:nvSpPr>
        <xdr:cNvPr id="20" name="TextBox 19">
          <a:extLst>
            <a:ext uri="{FF2B5EF4-FFF2-40B4-BE49-F238E27FC236}">
              <a16:creationId xmlns:a16="http://schemas.microsoft.com/office/drawing/2014/main" id="{41C146D7-6235-4B5E-3EF3-F4C3198C1E75}"/>
            </a:ext>
          </a:extLst>
        </xdr:cNvPr>
        <xdr:cNvSpPr txBox="1"/>
      </xdr:nvSpPr>
      <xdr:spPr>
        <a:xfrm>
          <a:off x="13371287" y="2978220"/>
          <a:ext cx="563824" cy="3209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EB6550FB-04A4-443D-8149-33F0BBFC6480}" type="TxLink">
            <a:rPr lang="en-US" sz="18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4.2</a:t>
          </a:fld>
          <a:endParaRPr lang="en-IN" sz="1800"/>
        </a:p>
      </xdr:txBody>
    </xdr:sp>
    <xdr:clientData/>
  </xdr:twoCellAnchor>
  <xdr:twoCellAnchor>
    <xdr:from>
      <xdr:col>4</xdr:col>
      <xdr:colOff>396993</xdr:colOff>
      <xdr:row>23</xdr:row>
      <xdr:rowOff>10026</xdr:rowOff>
    </xdr:from>
    <xdr:to>
      <xdr:col>11</xdr:col>
      <xdr:colOff>120316</xdr:colOff>
      <xdr:row>37</xdr:row>
      <xdr:rowOff>172496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ED6906E8-8C3A-4985-B448-966C912346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318199</xdr:colOff>
      <xdr:row>23</xdr:row>
      <xdr:rowOff>16746</xdr:rowOff>
    </xdr:from>
    <xdr:to>
      <xdr:col>18</xdr:col>
      <xdr:colOff>66990</xdr:colOff>
      <xdr:row>37</xdr:row>
      <xdr:rowOff>167473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F86836-AC49-4EC8-B9E2-293CE99A53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368439</xdr:colOff>
      <xdr:row>39</xdr:row>
      <xdr:rowOff>100482</xdr:rowOff>
    </xdr:from>
    <xdr:to>
      <xdr:col>11</xdr:col>
      <xdr:colOff>150725</xdr:colOff>
      <xdr:row>54</xdr:row>
      <xdr:rowOff>80385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69298EA-5494-415B-9EAB-0CBEFF9741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313257</xdr:colOff>
      <xdr:row>39</xdr:row>
      <xdr:rowOff>100483</xdr:rowOff>
    </xdr:from>
    <xdr:to>
      <xdr:col>18</xdr:col>
      <xdr:colOff>75363</xdr:colOff>
      <xdr:row>54</xdr:row>
      <xdr:rowOff>80386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835A85D-27A5-41A3-B080-F5C83EB0B5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217715</xdr:colOff>
      <xdr:row>23</xdr:row>
      <xdr:rowOff>33494</xdr:rowOff>
    </xdr:from>
    <xdr:to>
      <xdr:col>23</xdr:col>
      <xdr:colOff>301452</xdr:colOff>
      <xdr:row>37</xdr:row>
      <xdr:rowOff>167472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6F586986-9DEF-8300-F2C7-1D1C6877B4BC}"/>
            </a:ext>
          </a:extLst>
        </xdr:cNvPr>
        <xdr:cNvSpPr/>
      </xdr:nvSpPr>
      <xdr:spPr>
        <a:xfrm>
          <a:off x="11522111" y="4270549"/>
          <a:ext cx="3140110" cy="2713055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314782</xdr:colOff>
      <xdr:row>23</xdr:row>
      <xdr:rowOff>28426</xdr:rowOff>
    </xdr:from>
    <xdr:to>
      <xdr:col>25</xdr:col>
      <xdr:colOff>197550</xdr:colOff>
      <xdr:row>37</xdr:row>
      <xdr:rowOff>150395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97711254-E851-1C23-6265-8F078437ED7A}"/>
            </a:ext>
          </a:extLst>
        </xdr:cNvPr>
        <xdr:cNvSpPr/>
      </xdr:nvSpPr>
      <xdr:spPr>
        <a:xfrm>
          <a:off x="11614440" y="4179321"/>
          <a:ext cx="4164005" cy="26486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171769</xdr:colOff>
      <xdr:row>23</xdr:row>
      <xdr:rowOff>135631</xdr:rowOff>
    </xdr:from>
    <xdr:to>
      <xdr:col>24</xdr:col>
      <xdr:colOff>389814</xdr:colOff>
      <xdr:row>25</xdr:row>
      <xdr:rowOff>51894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6ADF945D-9DFA-E3DD-21C8-8B9F93CB9105}"/>
            </a:ext>
          </a:extLst>
        </xdr:cNvPr>
        <xdr:cNvSpPr txBox="1"/>
      </xdr:nvSpPr>
      <xdr:spPr>
        <a:xfrm>
          <a:off x="12083032" y="4286526"/>
          <a:ext cx="3276071" cy="27721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/>
            <a:t>PRODUCT</a:t>
          </a:r>
          <a:r>
            <a:rPr lang="en-IN" sz="1200" b="1" baseline="0"/>
            <a:t> WITH LOW RATING &amp; HIGH SALES </a:t>
          </a:r>
          <a:endParaRPr lang="en-IN" sz="1200" b="1"/>
        </a:p>
      </xdr:txBody>
    </xdr:sp>
    <xdr:clientData/>
  </xdr:twoCellAnchor>
  <xdr:twoCellAnchor editAs="oneCell">
    <xdr:from>
      <xdr:col>18</xdr:col>
      <xdr:colOff>586153</xdr:colOff>
      <xdr:row>25</xdr:row>
      <xdr:rowOff>92110</xdr:rowOff>
    </xdr:from>
    <xdr:to>
      <xdr:col>24</xdr:col>
      <xdr:colOff>460549</xdr:colOff>
      <xdr:row>36</xdr:row>
      <xdr:rowOff>125605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3BED62E5-558C-74EC-9C99-45B6AFAB7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90549" y="4697605"/>
          <a:ext cx="3542044" cy="2059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246267</xdr:colOff>
      <xdr:row>39</xdr:row>
      <xdr:rowOff>108855</xdr:rowOff>
    </xdr:from>
    <xdr:to>
      <xdr:col>25</xdr:col>
      <xdr:colOff>175845</xdr:colOff>
      <xdr:row>54</xdr:row>
      <xdr:rowOff>88758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13A90129-549F-4D9E-803F-4E04A945CE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shwaj" refreshedDate="46129.827018402779" createdVersion="8" refreshedVersion="8" minRefreshableVersion="3" recordCount="10" xr:uid="{BE2D31BB-5437-45CD-B097-D587DD614B46}">
  <cacheSource type="worksheet">
    <worksheetSource name="sales"/>
  </cacheSource>
  <cacheFields count="11">
    <cacheField name="Date" numFmtId="0">
      <sharedItems count="10">
        <s v="01-01-2026"/>
        <s v="02-01-2026"/>
        <s v="03-01-2026"/>
        <s v="04-01-2026"/>
        <s v="05-01-2026"/>
        <s v="06-01-2026"/>
        <s v="07-01-2026"/>
        <s v="08-01-2026"/>
        <s v="09-01-2026"/>
        <s v="10-01-2026"/>
      </sharedItems>
    </cacheField>
    <cacheField name="day" numFmtId="0">
      <sharedItems containsMixedTypes="1" containsNumber="1" containsInteger="1" minValue="1" maxValue="10" count="20">
        <s v="1 Jan"/>
        <s v="2 Jan"/>
        <s v="3 Jan"/>
        <s v="4 Jan"/>
        <s v="5 Jan"/>
        <s v="6 Jan"/>
        <s v="7 Jan"/>
        <s v="8 Jan"/>
        <s v="9 Jan"/>
        <s v="10 Jan"/>
        <n v="1" u="1"/>
        <n v="2" u="1"/>
        <n v="3" u="1"/>
        <n v="4" u="1"/>
        <n v="5" u="1"/>
        <n v="6" u="1"/>
        <n v="7" u="1"/>
        <n v="8" u="1"/>
        <n v="9" u="1"/>
        <n v="10" u="1"/>
      </sharedItems>
    </cacheField>
    <cacheField name="Region" numFmtId="0">
      <sharedItems count="4">
        <s v="South"/>
        <s v="North"/>
        <s v="West"/>
        <s v="East"/>
      </sharedItems>
    </cacheField>
    <cacheField name="Salesperson" numFmtId="0">
      <sharedItems count="4">
        <s v="Ravi"/>
        <s v="Aman"/>
        <s v="Sneha"/>
        <s v="Priya"/>
      </sharedItems>
    </cacheField>
    <cacheField name="Product" numFmtId="0">
      <sharedItems count="7">
        <s v="Laptop"/>
        <s v="Phone"/>
        <s v="Shoes"/>
        <s v="Watch"/>
        <s v="Tablet"/>
        <s v="T-shirt"/>
        <s v="Bag"/>
      </sharedItems>
    </cacheField>
    <cacheField name="Category" numFmtId="0">
      <sharedItems count="3">
        <s v="Electronics"/>
        <s v="Fashion"/>
        <s v="Accessories"/>
      </sharedItems>
    </cacheField>
    <cacheField name="Units Sold" numFmtId="0">
      <sharedItems containsSemiMixedTypes="0" containsString="0" containsNumber="1" containsInteger="1" minValue="3" maxValue="25" count="9">
        <n v="5"/>
        <n v="10"/>
        <n v="20"/>
        <n v="15"/>
        <n v="8"/>
        <n v="25"/>
        <n v="12"/>
        <n v="3"/>
        <n v="18"/>
      </sharedItems>
    </cacheField>
    <cacheField name="Revenue" numFmtId="0">
      <sharedItems containsSemiMixedTypes="0" containsString="0" containsNumber="1" containsInteger="1" minValue="40000" maxValue="250000"/>
    </cacheField>
    <cacheField name="Cost" numFmtId="0">
      <sharedItems containsSemiMixedTypes="0" containsString="0" containsNumber="1" containsInteger="1" minValue="20000" maxValue="200000"/>
    </cacheField>
    <cacheField name="Customer Rating" numFmtId="0">
      <sharedItems containsSemiMixedTypes="0" containsString="0" containsNumber="1" minValue="3.8" maxValue="4.5999999999999996"/>
    </cacheField>
    <cacheField name="profit%" numFmtId="0" formula="Revenue/Cost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x v="0"/>
    <x v="0"/>
    <x v="0"/>
    <x v="0"/>
    <x v="0"/>
    <n v="250000"/>
    <n v="200000"/>
    <n v="4.5"/>
  </r>
  <r>
    <x v="1"/>
    <x v="1"/>
    <x v="1"/>
    <x v="1"/>
    <x v="1"/>
    <x v="0"/>
    <x v="1"/>
    <n v="150000"/>
    <n v="100000"/>
    <n v="4.2"/>
  </r>
  <r>
    <x v="2"/>
    <x v="2"/>
    <x v="2"/>
    <x v="2"/>
    <x v="2"/>
    <x v="1"/>
    <x v="2"/>
    <n v="80000"/>
    <n v="50000"/>
    <n v="4"/>
  </r>
  <r>
    <x v="3"/>
    <x v="3"/>
    <x v="3"/>
    <x v="3"/>
    <x v="3"/>
    <x v="2"/>
    <x v="3"/>
    <n v="60000"/>
    <n v="30000"/>
    <n v="3.8"/>
  </r>
  <r>
    <x v="4"/>
    <x v="4"/>
    <x v="0"/>
    <x v="0"/>
    <x v="4"/>
    <x v="0"/>
    <x v="4"/>
    <n v="120000"/>
    <n v="90000"/>
    <n v="4.3"/>
  </r>
  <r>
    <x v="5"/>
    <x v="5"/>
    <x v="1"/>
    <x v="1"/>
    <x v="5"/>
    <x v="1"/>
    <x v="5"/>
    <n v="50000"/>
    <n v="20000"/>
    <n v="4.0999999999999996"/>
  </r>
  <r>
    <x v="6"/>
    <x v="6"/>
    <x v="2"/>
    <x v="2"/>
    <x v="6"/>
    <x v="2"/>
    <x v="6"/>
    <n v="72000"/>
    <n v="40000"/>
    <n v="4.4000000000000004"/>
  </r>
  <r>
    <x v="7"/>
    <x v="7"/>
    <x v="3"/>
    <x v="3"/>
    <x v="0"/>
    <x v="0"/>
    <x v="7"/>
    <n v="150000"/>
    <n v="120000"/>
    <n v="4.5999999999999996"/>
  </r>
  <r>
    <x v="8"/>
    <x v="8"/>
    <x v="0"/>
    <x v="0"/>
    <x v="2"/>
    <x v="1"/>
    <x v="8"/>
    <n v="90000"/>
    <n v="60000"/>
    <n v="3.9"/>
  </r>
  <r>
    <x v="9"/>
    <x v="9"/>
    <x v="1"/>
    <x v="1"/>
    <x v="3"/>
    <x v="2"/>
    <x v="1"/>
    <n v="40000"/>
    <n v="20000"/>
    <n v="4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B268AD-7097-4959-8071-1FED68E0DC9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6:F7" firstHeaderRow="0" firstDataRow="1" firstDataCol="0"/>
  <pivotFields count="11"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ragToRow="0" dragToCol="0" dragToPage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Cost" fld="8" baseField="0" baseItem="0" numFmtId="164"/>
    <dataField name="Sum of Revenue" fld="7" baseField="0" baseItem="0" numFmtId="164"/>
    <dataField name="Sum of Units Sold" fld="6" baseField="0" baseItem="0"/>
    <dataField name="Average of Customer Rating" fld="9" subtotal="average" baseField="0" baseItem="0"/>
  </dataFields>
  <formats count="1">
    <format dxfId="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41D42C-483F-4AB0-B14B-415A9001D67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2">
  <location ref="C4:D9" firstHeaderRow="1" firstDataRow="1" firstDataCol="1"/>
  <pivotFields count="11">
    <pivotField showAll="0"/>
    <pivotField showAll="0"/>
    <pivotField axis="axisRow" showAll="0" sortType="descending">
      <items count="5">
        <item x="3"/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dragToRow="0" dragToCol="0" dragToPage="0" showAll="0" defaultSubtotal="0"/>
  </pivotFields>
  <rowFields count="1">
    <field x="2"/>
  </rowFields>
  <rowItems count="5">
    <i>
      <x v="2"/>
    </i>
    <i>
      <x/>
    </i>
    <i>
      <x v="1"/>
    </i>
    <i>
      <x v="3"/>
    </i>
    <i t="grand">
      <x/>
    </i>
  </rowItems>
  <colItems count="1">
    <i/>
  </colItems>
  <dataFields count="1">
    <dataField name="Sum of Cost" fld="8" baseField="0" baseItem="0"/>
  </dataFields>
  <formats count="1">
    <format dxfId="0">
      <pivotArea collapsedLevelsAreSubtotals="1" fieldPosition="0">
        <references count="1">
          <reference field="2" count="1">
            <x v="2"/>
          </reference>
        </references>
      </pivotArea>
    </format>
  </formats>
  <chartFormats count="4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200D43-82AD-4894-9EC8-24A9F9512F78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G13:I21" firstHeaderRow="0" firstDataRow="1" firstDataCol="1"/>
  <pivotFields count="11">
    <pivotField showAll="0"/>
    <pivotField showAll="0"/>
    <pivotField showAll="0"/>
    <pivotField showAll="0"/>
    <pivotField axis="axisRow" showAll="0" sortType="ascending">
      <items count="8">
        <item x="6"/>
        <item x="0"/>
        <item x="1"/>
        <item x="2"/>
        <item x="4"/>
        <item x="5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>
      <items count="10">
        <item x="7"/>
        <item x="0"/>
        <item x="4"/>
        <item x="1"/>
        <item x="6"/>
        <item x="3"/>
        <item x="8"/>
        <item x="2"/>
        <item x="5"/>
        <item t="default"/>
      </items>
    </pivotField>
    <pivotField showAll="0"/>
    <pivotField showAll="0"/>
    <pivotField dataField="1" showAll="0"/>
    <pivotField dragToRow="0" dragToCol="0" dragToPage="0" showAll="0" defaultSubtotal="0"/>
  </pivotFields>
  <rowFields count="1">
    <field x="4"/>
  </rowFields>
  <rowItems count="8">
    <i>
      <x v="3"/>
    </i>
    <i>
      <x v="6"/>
    </i>
    <i>
      <x v="5"/>
    </i>
    <i>
      <x v="2"/>
    </i>
    <i>
      <x v="4"/>
    </i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ustomer Rating" fld="9" subtotal="average" baseField="0" baseItem="0"/>
    <dataField name="Sum of Units Sold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18475D-20C6-419D-9818-8274DB0EE3E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7">
  <location ref="J24:K28" firstHeaderRow="1" firstDataRow="1" firstDataCol="1"/>
  <pivotFields count="11"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>
      <items count="5">
        <item x="3"/>
        <item x="1"/>
        <item x="0"/>
        <item x="2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>
      <items count="8">
        <item x="6"/>
        <item x="0"/>
        <item x="1"/>
        <item x="2"/>
        <item x="4"/>
        <item x="5"/>
        <item x="3"/>
        <item t="default"/>
      </items>
    </pivotField>
    <pivotField axis="axisRow" showAll="0" sortType="a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5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Sum of profit%" fld="10" baseField="0" baseItem="0"/>
  </dataFields>
  <formats count="1">
    <format dxfId="1">
      <pivotArea collapsedLevelsAreSubtotals="1" fieldPosition="0">
        <references count="2">
          <reference field="4294967294" count="1" selected="0">
            <x v="0"/>
          </reference>
          <reference field="5" count="0"/>
        </references>
      </pivotArea>
    </format>
  </formats>
  <chartFormats count="13">
    <chartFormat chart="3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5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85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85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8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6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86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86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4EECA3-9456-4FF3-B889-8CFEBA474D4E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C13:D24" firstHeaderRow="1" firstDataRow="1" firstDataCol="1"/>
  <pivotFields count="11">
    <pivotField showAll="0"/>
    <pivotField axis="axisRow" showAll="0">
      <items count="21"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dragToRow="0" dragToCol="0" dragToPage="0" showAll="0" defaultSubtotal="0"/>
  </pivotFields>
  <rowFields count="1">
    <field x="1"/>
  </rowFields>
  <rowItems count="11"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Revenue" fld="7" baseField="0" baseItem="0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53DA81-4ECD-4329-8DA6-77BE29BA5A1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2">
  <location ref="J4:K8" firstHeaderRow="1" firstDataRow="1" firstDataCol="1"/>
  <pivotFields count="11">
    <pivotField showAll="0"/>
    <pivotField showAll="0"/>
    <pivotField showAll="0"/>
    <pivotField showAll="0"/>
    <pivotField showAll="0"/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dragToRow="0" dragToCol="0" dragToPage="0" showAll="0" defaultSubtotal="0"/>
  </pivotFields>
  <rowFields count="1">
    <field x="5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Sum of Revenue" fld="7" showDataAs="percentOfTotal" baseField="0" baseItem="0" numFmtId="10"/>
  </dataFields>
  <formats count="1">
    <format dxfId="2">
      <pivotArea collapsedLevelsAreSubtotals="1" fieldPosition="0">
        <references count="1">
          <reference field="5" count="1">
            <x v="1"/>
          </reference>
        </references>
      </pivotArea>
    </format>
  </formats>
  <chartFormats count="4">
    <chartFormat chart="31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1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1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F25AAB-2927-4A1F-8C02-85CE505BD08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1">
  <location ref="G4:H9" firstHeaderRow="1" firstDataRow="1" firstDataCol="1"/>
  <pivotFields count="11"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5">
        <item x="1"/>
        <item x="3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dragToRow="0" dragToCol="0" dragToPage="0" showAll="0" defaultSubtotal="0"/>
  </pivotFields>
  <rowFields count="1">
    <field x="3"/>
  </rowFields>
  <rowItems count="5">
    <i>
      <x v="2"/>
    </i>
    <i>
      <x v="1"/>
    </i>
    <i>
      <x/>
    </i>
    <i>
      <x v="3"/>
    </i>
    <i t="grand">
      <x/>
    </i>
  </rowItems>
  <colItems count="1">
    <i/>
  </colItems>
  <dataFields count="1">
    <dataField name="Sum of Cost" fld="8" baseField="0" baseItem="0"/>
  </dataFields>
  <chartFormats count="4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CDE05F-F55D-4407-AF41-3BF0BAA1CE6D}" name="Table1" displayName="Table1" ref="D12:M22" totalsRowShown="0" headerRowDxfId="15" dataDxfId="14">
  <autoFilter ref="D12:M22" xr:uid="{FACDE05F-F55D-4407-AF41-3BF0BAA1CE6D}"/>
  <tableColumns count="10">
    <tableColumn id="1" xr3:uid="{F0CD8DD3-24BC-42D9-9FB9-F2116626F369}" name="Date" dataDxfId="13"/>
    <tableColumn id="11" xr3:uid="{2ABAEC4A-CBC3-4D08-8CFE-B4329E6BF4EE}" name="day" dataDxfId="12">
      <calculatedColumnFormula>TEXT(D13,"d mmm")</calculatedColumnFormula>
    </tableColumn>
    <tableColumn id="2" xr3:uid="{640DC56B-F88E-4548-9D69-B81C243614CB}" name="Region" dataDxfId="11"/>
    <tableColumn id="3" xr3:uid="{89EAFC9B-B92B-47CA-ACC2-CEDA8439550C}" name="Salesperson" dataDxfId="10"/>
    <tableColumn id="4" xr3:uid="{4B4F929D-CDF5-4D08-95C6-64A6BA40EDCA}" name="Product" dataDxfId="9"/>
    <tableColumn id="5" xr3:uid="{D434D24A-876B-406E-9D4D-08C7A03EFA66}" name="Category" dataDxfId="8"/>
    <tableColumn id="6" xr3:uid="{A55C76F0-7907-4A5B-9F36-36F0B477D0A7}" name="Units Sold" dataDxfId="7"/>
    <tableColumn id="7" xr3:uid="{DB91FF95-9B43-4299-A60C-770F48DD6206}" name="Revenue" dataDxfId="6"/>
    <tableColumn id="8" xr3:uid="{D190C91D-2423-4680-881E-0AA7C7A661D6}" name="Cost" dataDxfId="5"/>
    <tableColumn id="9" xr3:uid="{6F460984-FBE9-43A7-B694-4EDD94DF356D}" name="Customer Rating" dataDxf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2:N22"/>
  <sheetViews>
    <sheetView workbookViewId="0">
      <selection activeCell="G28" sqref="G28"/>
    </sheetView>
  </sheetViews>
  <sheetFormatPr defaultRowHeight="14.4" x14ac:dyDescent="0.3"/>
  <cols>
    <col min="1" max="1" width="10.33203125" bestFit="1" customWidth="1"/>
    <col min="4" max="4" width="10.33203125" bestFit="1" customWidth="1"/>
    <col min="5" max="5" width="10.33203125" customWidth="1"/>
    <col min="6" max="6" width="11.21875" bestFit="1" customWidth="1"/>
    <col min="7" max="7" width="15.44140625" bestFit="1" customWidth="1"/>
    <col min="8" max="8" width="12.109375" bestFit="1" customWidth="1"/>
    <col min="9" max="9" width="13" bestFit="1" customWidth="1"/>
    <col min="10" max="10" width="13.88671875" bestFit="1" customWidth="1"/>
    <col min="11" max="11" width="14.5546875" bestFit="1" customWidth="1"/>
    <col min="12" max="12" width="9.109375" bestFit="1" customWidth="1"/>
    <col min="13" max="13" width="19.44140625" bestFit="1" customWidth="1"/>
    <col min="14" max="14" width="19.44140625" customWidth="1"/>
  </cols>
  <sheetData>
    <row r="12" spans="4:14" x14ac:dyDescent="0.3">
      <c r="D12" s="1" t="s">
        <v>0</v>
      </c>
      <c r="E12" s="1" t="s">
        <v>62</v>
      </c>
      <c r="F12" s="1" t="s">
        <v>1</v>
      </c>
      <c r="G12" s="1" t="s">
        <v>2</v>
      </c>
      <c r="H12" s="1" t="s">
        <v>3</v>
      </c>
      <c r="I12" s="1" t="s">
        <v>4</v>
      </c>
      <c r="J12" s="1" t="s">
        <v>5</v>
      </c>
      <c r="K12" s="1" t="s">
        <v>6</v>
      </c>
      <c r="L12" s="1" t="s">
        <v>7</v>
      </c>
      <c r="M12" s="1" t="s">
        <v>8</v>
      </c>
      <c r="N12" s="1"/>
    </row>
    <row r="13" spans="4:14" x14ac:dyDescent="0.3">
      <c r="D13" s="1" t="s">
        <v>9</v>
      </c>
      <c r="E13" s="1" t="str">
        <f>TEXT(D13,"d mmm")</f>
        <v>1 Jan</v>
      </c>
      <c r="F13" s="1" t="s">
        <v>10</v>
      </c>
      <c r="G13" s="1" t="s">
        <v>11</v>
      </c>
      <c r="H13" s="1" t="s">
        <v>12</v>
      </c>
      <c r="I13" s="1" t="s">
        <v>13</v>
      </c>
      <c r="J13" s="1">
        <v>5</v>
      </c>
      <c r="K13" s="1">
        <v>250000</v>
      </c>
      <c r="L13" s="1">
        <v>200000</v>
      </c>
      <c r="M13" s="1">
        <v>4.5</v>
      </c>
      <c r="N13" s="1"/>
    </row>
    <row r="14" spans="4:14" x14ac:dyDescent="0.3">
      <c r="D14" s="1" t="s">
        <v>14</v>
      </c>
      <c r="E14" s="1" t="str">
        <f t="shared" ref="E14:E22" si="0">TEXT(D14,"d mmm")</f>
        <v>2 Jan</v>
      </c>
      <c r="F14" s="1" t="s">
        <v>15</v>
      </c>
      <c r="G14" s="1" t="s">
        <v>16</v>
      </c>
      <c r="H14" s="1" t="s">
        <v>17</v>
      </c>
      <c r="I14" s="1" t="s">
        <v>13</v>
      </c>
      <c r="J14" s="1">
        <v>10</v>
      </c>
      <c r="K14" s="1">
        <v>150000</v>
      </c>
      <c r="L14" s="1">
        <v>100000</v>
      </c>
      <c r="M14" s="1">
        <v>4.2</v>
      </c>
      <c r="N14" s="1"/>
    </row>
    <row r="15" spans="4:14" x14ac:dyDescent="0.3">
      <c r="D15" s="1" t="s">
        <v>18</v>
      </c>
      <c r="E15" s="1" t="str">
        <f t="shared" si="0"/>
        <v>3 Jan</v>
      </c>
      <c r="F15" s="1" t="s">
        <v>19</v>
      </c>
      <c r="G15" s="1" t="s">
        <v>20</v>
      </c>
      <c r="H15" s="1" t="s">
        <v>21</v>
      </c>
      <c r="I15" s="1" t="s">
        <v>22</v>
      </c>
      <c r="J15" s="1">
        <v>20</v>
      </c>
      <c r="K15" s="1">
        <v>80000</v>
      </c>
      <c r="L15" s="1">
        <v>50000</v>
      </c>
      <c r="M15" s="1">
        <v>4</v>
      </c>
      <c r="N15" s="1"/>
    </row>
    <row r="16" spans="4:14" x14ac:dyDescent="0.3">
      <c r="D16" s="1" t="s">
        <v>23</v>
      </c>
      <c r="E16" s="1" t="str">
        <f t="shared" si="0"/>
        <v>4 Jan</v>
      </c>
      <c r="F16" s="1" t="s">
        <v>24</v>
      </c>
      <c r="G16" s="1" t="s">
        <v>25</v>
      </c>
      <c r="H16" s="1" t="s">
        <v>26</v>
      </c>
      <c r="I16" s="1" t="s">
        <v>27</v>
      </c>
      <c r="J16" s="1">
        <v>15</v>
      </c>
      <c r="K16" s="1">
        <v>60000</v>
      </c>
      <c r="L16" s="1">
        <v>30000</v>
      </c>
      <c r="M16" s="1">
        <v>3.8</v>
      </c>
      <c r="N16" s="1"/>
    </row>
    <row r="17" spans="4:14" x14ac:dyDescent="0.3">
      <c r="D17" s="1" t="s">
        <v>28</v>
      </c>
      <c r="E17" s="1" t="str">
        <f t="shared" si="0"/>
        <v>5 Jan</v>
      </c>
      <c r="F17" s="1" t="s">
        <v>10</v>
      </c>
      <c r="G17" s="1" t="s">
        <v>11</v>
      </c>
      <c r="H17" s="1" t="s">
        <v>29</v>
      </c>
      <c r="I17" s="1" t="s">
        <v>13</v>
      </c>
      <c r="J17" s="1">
        <v>8</v>
      </c>
      <c r="K17" s="1">
        <v>120000</v>
      </c>
      <c r="L17" s="1">
        <v>90000</v>
      </c>
      <c r="M17" s="1">
        <v>4.3</v>
      </c>
      <c r="N17" s="1"/>
    </row>
    <row r="18" spans="4:14" x14ac:dyDescent="0.3">
      <c r="D18" s="1" t="s">
        <v>30</v>
      </c>
      <c r="E18" s="1" t="str">
        <f t="shared" si="0"/>
        <v>6 Jan</v>
      </c>
      <c r="F18" s="1" t="s">
        <v>15</v>
      </c>
      <c r="G18" s="1" t="s">
        <v>16</v>
      </c>
      <c r="H18" s="1" t="s">
        <v>31</v>
      </c>
      <c r="I18" s="1" t="s">
        <v>22</v>
      </c>
      <c r="J18" s="1">
        <v>25</v>
      </c>
      <c r="K18" s="1">
        <v>50000</v>
      </c>
      <c r="L18" s="1">
        <v>20000</v>
      </c>
      <c r="M18" s="1">
        <v>4.0999999999999996</v>
      </c>
      <c r="N18" s="1"/>
    </row>
    <row r="19" spans="4:14" x14ac:dyDescent="0.3">
      <c r="D19" s="1" t="s">
        <v>32</v>
      </c>
      <c r="E19" s="1" t="str">
        <f t="shared" si="0"/>
        <v>7 Jan</v>
      </c>
      <c r="F19" s="1" t="s">
        <v>19</v>
      </c>
      <c r="G19" s="1" t="s">
        <v>20</v>
      </c>
      <c r="H19" s="1" t="s">
        <v>33</v>
      </c>
      <c r="I19" s="1" t="s">
        <v>27</v>
      </c>
      <c r="J19" s="1">
        <v>12</v>
      </c>
      <c r="K19" s="1">
        <v>72000</v>
      </c>
      <c r="L19" s="1">
        <v>40000</v>
      </c>
      <c r="M19" s="1">
        <v>4.4000000000000004</v>
      </c>
      <c r="N19" s="1"/>
    </row>
    <row r="20" spans="4:14" x14ac:dyDescent="0.3">
      <c r="D20" s="1" t="s">
        <v>34</v>
      </c>
      <c r="E20" s="1" t="str">
        <f t="shared" si="0"/>
        <v>8 Jan</v>
      </c>
      <c r="F20" s="1" t="s">
        <v>24</v>
      </c>
      <c r="G20" s="1" t="s">
        <v>25</v>
      </c>
      <c r="H20" s="1" t="s">
        <v>12</v>
      </c>
      <c r="I20" s="1" t="s">
        <v>13</v>
      </c>
      <c r="J20" s="1">
        <v>3</v>
      </c>
      <c r="K20" s="1">
        <v>150000</v>
      </c>
      <c r="L20" s="1">
        <v>120000</v>
      </c>
      <c r="M20" s="1">
        <v>4.5999999999999996</v>
      </c>
      <c r="N20" s="1"/>
    </row>
    <row r="21" spans="4:14" x14ac:dyDescent="0.3">
      <c r="D21" s="1" t="s">
        <v>35</v>
      </c>
      <c r="E21" s="1" t="str">
        <f t="shared" si="0"/>
        <v>9 Jan</v>
      </c>
      <c r="F21" s="1" t="s">
        <v>10</v>
      </c>
      <c r="G21" s="1" t="s">
        <v>11</v>
      </c>
      <c r="H21" s="1" t="s">
        <v>21</v>
      </c>
      <c r="I21" s="1" t="s">
        <v>22</v>
      </c>
      <c r="J21" s="1">
        <v>18</v>
      </c>
      <c r="K21" s="1">
        <v>90000</v>
      </c>
      <c r="L21" s="1">
        <v>60000</v>
      </c>
      <c r="M21" s="1">
        <v>3.9</v>
      </c>
      <c r="N21" s="1"/>
    </row>
    <row r="22" spans="4:14" x14ac:dyDescent="0.3">
      <c r="D22" s="1" t="s">
        <v>36</v>
      </c>
      <c r="E22" s="1" t="str">
        <f t="shared" si="0"/>
        <v>10 Jan</v>
      </c>
      <c r="F22" s="1" t="s">
        <v>15</v>
      </c>
      <c r="G22" s="1" t="s">
        <v>16</v>
      </c>
      <c r="H22" s="1" t="s">
        <v>26</v>
      </c>
      <c r="I22" s="1" t="s">
        <v>27</v>
      </c>
      <c r="J22" s="1">
        <v>10</v>
      </c>
      <c r="K22" s="1">
        <v>40000</v>
      </c>
      <c r="L22" s="1">
        <v>20000</v>
      </c>
      <c r="M22" s="1">
        <v>4.2</v>
      </c>
      <c r="N22" s="1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186B9-9C31-44A1-8B2E-C1A93547972B}">
  <dimension ref="B8:D25"/>
  <sheetViews>
    <sheetView workbookViewId="0">
      <selection activeCell="J28" sqref="J28"/>
    </sheetView>
  </sheetViews>
  <sheetFormatPr defaultRowHeight="14.4" x14ac:dyDescent="0.3"/>
  <sheetData>
    <row r="8" spans="2:2" ht="18" x14ac:dyDescent="0.3">
      <c r="B8" s="2" t="s">
        <v>37</v>
      </c>
    </row>
    <row r="9" spans="2:2" x14ac:dyDescent="0.3">
      <c r="B9" s="3"/>
    </row>
    <row r="10" spans="2:2" x14ac:dyDescent="0.3">
      <c r="B10" s="3" t="s">
        <v>38</v>
      </c>
    </row>
    <row r="11" spans="2:2" x14ac:dyDescent="0.3">
      <c r="B11" s="3" t="s">
        <v>39</v>
      </c>
    </row>
    <row r="12" spans="2:2" x14ac:dyDescent="0.3">
      <c r="B12" s="3" t="s">
        <v>40</v>
      </c>
    </row>
    <row r="13" spans="2:2" x14ac:dyDescent="0.3">
      <c r="B13" s="3" t="s">
        <v>41</v>
      </c>
    </row>
    <row r="14" spans="2:2" x14ac:dyDescent="0.3">
      <c r="B14" s="3" t="s">
        <v>42</v>
      </c>
    </row>
    <row r="15" spans="2:2" x14ac:dyDescent="0.3">
      <c r="B15" s="3" t="s">
        <v>43</v>
      </c>
    </row>
    <row r="16" spans="2:2" x14ac:dyDescent="0.3">
      <c r="B16" s="3" t="s">
        <v>44</v>
      </c>
    </row>
    <row r="17" spans="2:4" x14ac:dyDescent="0.3">
      <c r="B17" s="3" t="s">
        <v>45</v>
      </c>
    </row>
    <row r="20" spans="2:4" ht="18" x14ac:dyDescent="0.3">
      <c r="D20" s="2" t="s">
        <v>46</v>
      </c>
    </row>
    <row r="21" spans="2:4" x14ac:dyDescent="0.3">
      <c r="D21" s="3"/>
    </row>
    <row r="22" spans="2:4" x14ac:dyDescent="0.3">
      <c r="D22" s="4" t="s">
        <v>47</v>
      </c>
    </row>
    <row r="23" spans="2:4" x14ac:dyDescent="0.3">
      <c r="D23" s="4" t="s">
        <v>48</v>
      </c>
    </row>
    <row r="24" spans="2:4" x14ac:dyDescent="0.3">
      <c r="D24" s="4" t="s">
        <v>49</v>
      </c>
    </row>
    <row r="25" spans="2:4" x14ac:dyDescent="0.3">
      <c r="D25" s="4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548BB-7F51-4F21-B70D-2113C20959F5}">
  <dimension ref="A1"/>
  <sheetViews>
    <sheetView tabSelected="1" zoomScale="69" zoomScaleNormal="69" workbookViewId="0">
      <selection activeCell="AC47" sqref="AC47"/>
    </sheetView>
  </sheetViews>
  <sheetFormatPr defaultRowHeight="14.4" x14ac:dyDescent="0.3"/>
  <cols>
    <col min="5" max="5" width="9.6640625" bestFit="1" customWidth="1"/>
    <col min="6" max="6" width="12.33203125" bestFit="1" customWidth="1"/>
    <col min="7" max="7" width="9.109375" customWidth="1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A7D1B-FC8A-4B2A-9F40-A8C15F86E07D}">
  <dimension ref="C5:K7"/>
  <sheetViews>
    <sheetView workbookViewId="0">
      <selection activeCell="H7" sqref="H7"/>
    </sheetView>
  </sheetViews>
  <sheetFormatPr defaultRowHeight="14.4" x14ac:dyDescent="0.3"/>
  <cols>
    <col min="3" max="3" width="11.109375" bestFit="1" customWidth="1"/>
    <col min="4" max="4" width="14.88671875" bestFit="1" customWidth="1"/>
    <col min="5" max="5" width="16" bestFit="1" customWidth="1"/>
    <col min="6" max="6" width="24.77734375" bestFit="1" customWidth="1"/>
    <col min="8" max="8" width="9.44140625" bestFit="1" customWidth="1"/>
    <col min="9" max="9" width="12.21875" bestFit="1" customWidth="1"/>
  </cols>
  <sheetData>
    <row r="5" spans="3:11" x14ac:dyDescent="0.3">
      <c r="H5" t="s">
        <v>55</v>
      </c>
    </row>
    <row r="6" spans="3:11" x14ac:dyDescent="0.3">
      <c r="C6" t="s">
        <v>51</v>
      </c>
      <c r="D6" t="s">
        <v>52</v>
      </c>
      <c r="E6" t="s">
        <v>53</v>
      </c>
      <c r="F6" t="s">
        <v>54</v>
      </c>
      <c r="H6" t="s">
        <v>56</v>
      </c>
      <c r="I6" t="s">
        <v>57</v>
      </c>
      <c r="J6" t="s">
        <v>58</v>
      </c>
      <c r="K6" t="s">
        <v>59</v>
      </c>
    </row>
    <row r="7" spans="3:11" x14ac:dyDescent="0.3">
      <c r="C7" s="6">
        <v>730000</v>
      </c>
      <c r="D7" s="6">
        <v>1062000</v>
      </c>
      <c r="E7">
        <v>126</v>
      </c>
      <c r="F7">
        <v>4.2</v>
      </c>
      <c r="H7" s="6" t="str">
        <f>TEXT(C7," #,## ")</f>
        <v xml:space="preserve"> 7,30,000 </v>
      </c>
      <c r="I7" t="str">
        <f t="shared" ref="I7:J7" si="0">TEXT(D7," #,## ")</f>
        <v xml:space="preserve"> 10,62,000 </v>
      </c>
      <c r="J7" t="str">
        <f t="shared" si="0"/>
        <v xml:space="preserve"> 126 </v>
      </c>
      <c r="K7" s="5" t="str">
        <f>TEXT(F7," #,##.0 ")</f>
        <v xml:space="preserve"> 4.2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C3264-4075-4FBF-A627-7751D65FCF50}">
  <dimension ref="C4:P28"/>
  <sheetViews>
    <sheetView zoomScale="99" zoomScaleNormal="99" workbookViewId="0">
      <selection activeCell="H29" sqref="H29"/>
    </sheetView>
  </sheetViews>
  <sheetFormatPr defaultRowHeight="14.4" x14ac:dyDescent="0.3"/>
  <cols>
    <col min="3" max="3" width="12.6640625" bestFit="1" customWidth="1"/>
    <col min="4" max="4" width="11.21875" bestFit="1" customWidth="1"/>
    <col min="5" max="5" width="10.6640625" bestFit="1" customWidth="1"/>
    <col min="6" max="6" width="10.33203125" bestFit="1" customWidth="1"/>
    <col min="7" max="7" width="12.6640625" bestFit="1" customWidth="1"/>
    <col min="8" max="8" width="25" bestFit="1" customWidth="1"/>
    <col min="9" max="9" width="16.109375" bestFit="1" customWidth="1"/>
    <col min="10" max="10" width="12.6640625" bestFit="1" customWidth="1"/>
    <col min="11" max="11" width="13.77734375" bestFit="1" customWidth="1"/>
    <col min="12" max="12" width="10.109375" bestFit="1" customWidth="1"/>
    <col min="13" max="13" width="7.5546875" bestFit="1" customWidth="1"/>
    <col min="14" max="14" width="12.109375" bestFit="1" customWidth="1"/>
    <col min="15" max="15" width="7.109375" bestFit="1" customWidth="1"/>
    <col min="16" max="16" width="6.44140625" bestFit="1" customWidth="1"/>
    <col min="17" max="17" width="7.109375" customWidth="1"/>
    <col min="18" max="18" width="16.109375" bestFit="1" customWidth="1"/>
    <col min="19" max="19" width="7" bestFit="1" customWidth="1"/>
    <col min="20" max="20" width="6.5546875" bestFit="1" customWidth="1"/>
    <col min="21" max="21" width="6.109375" bestFit="1" customWidth="1"/>
    <col min="22" max="22" width="6.33203125" bestFit="1" customWidth="1"/>
    <col min="23" max="23" width="6.44140625" bestFit="1" customWidth="1"/>
    <col min="24" max="24" width="6.5546875" bestFit="1" customWidth="1"/>
    <col min="25" max="25" width="19.88671875" bestFit="1" customWidth="1"/>
    <col min="26" max="26" width="21" bestFit="1" customWidth="1"/>
  </cols>
  <sheetData>
    <row r="4" spans="3:16" x14ac:dyDescent="0.3">
      <c r="C4" s="7" t="s">
        <v>60</v>
      </c>
      <c r="D4" t="s">
        <v>51</v>
      </c>
      <c r="G4" s="7" t="s">
        <v>60</v>
      </c>
      <c r="H4" t="s">
        <v>51</v>
      </c>
      <c r="J4" s="7" t="s">
        <v>60</v>
      </c>
      <c r="K4" t="s">
        <v>52</v>
      </c>
    </row>
    <row r="5" spans="3:16" x14ac:dyDescent="0.3">
      <c r="C5" s="8" t="s">
        <v>10</v>
      </c>
      <c r="D5" s="9">
        <v>350000</v>
      </c>
      <c r="G5" s="8" t="s">
        <v>11</v>
      </c>
      <c r="H5">
        <v>350000</v>
      </c>
      <c r="J5" s="8" t="s">
        <v>13</v>
      </c>
      <c r="K5" s="10">
        <v>0.63088512241054617</v>
      </c>
    </row>
    <row r="6" spans="3:16" x14ac:dyDescent="0.3">
      <c r="C6" s="8" t="s">
        <v>24</v>
      </c>
      <c r="D6">
        <v>150000</v>
      </c>
      <c r="G6" s="8" t="s">
        <v>25</v>
      </c>
      <c r="H6">
        <v>150000</v>
      </c>
      <c r="J6" s="8" t="s">
        <v>22</v>
      </c>
      <c r="K6" s="10">
        <v>0.2071563088512241</v>
      </c>
    </row>
    <row r="7" spans="3:16" x14ac:dyDescent="0.3">
      <c r="C7" s="8" t="s">
        <v>15</v>
      </c>
      <c r="D7">
        <v>140000</v>
      </c>
      <c r="G7" s="8" t="s">
        <v>16</v>
      </c>
      <c r="H7">
        <v>140000</v>
      </c>
      <c r="J7" s="8" t="s">
        <v>27</v>
      </c>
      <c r="K7" s="10">
        <v>0.16195856873822975</v>
      </c>
    </row>
    <row r="8" spans="3:16" x14ac:dyDescent="0.3">
      <c r="C8" s="8" t="s">
        <v>19</v>
      </c>
      <c r="D8">
        <v>90000</v>
      </c>
      <c r="G8" s="8" t="s">
        <v>20</v>
      </c>
      <c r="H8">
        <v>90000</v>
      </c>
      <c r="J8" s="8" t="s">
        <v>61</v>
      </c>
      <c r="K8" s="10">
        <v>1</v>
      </c>
    </row>
    <row r="9" spans="3:16" x14ac:dyDescent="0.3">
      <c r="C9" s="8" t="s">
        <v>61</v>
      </c>
      <c r="D9">
        <v>730000</v>
      </c>
      <c r="G9" s="8" t="s">
        <v>61</v>
      </c>
      <c r="H9">
        <v>730000</v>
      </c>
    </row>
    <row r="13" spans="3:16" x14ac:dyDescent="0.3">
      <c r="C13" s="7" t="s">
        <v>60</v>
      </c>
      <c r="D13" t="s">
        <v>52</v>
      </c>
      <c r="G13" s="7" t="s">
        <v>60</v>
      </c>
      <c r="H13" t="s">
        <v>54</v>
      </c>
      <c r="I13" t="s">
        <v>53</v>
      </c>
      <c r="N13" s="11" t="s">
        <v>73</v>
      </c>
      <c r="O13" s="11" t="s">
        <v>75</v>
      </c>
      <c r="P13" s="11" t="s">
        <v>74</v>
      </c>
    </row>
    <row r="14" spans="3:16" x14ac:dyDescent="0.3">
      <c r="C14" s="8" t="s">
        <v>63</v>
      </c>
      <c r="D14">
        <v>250000</v>
      </c>
      <c r="G14" s="8" t="s">
        <v>21</v>
      </c>
      <c r="H14">
        <v>3.95</v>
      </c>
      <c r="I14">
        <v>38</v>
      </c>
      <c r="K14" t="e">
        <f>Sheet4!#REF!</f>
        <v>#REF!</v>
      </c>
      <c r="L14" t="e">
        <f>Sheet4!#REF!</f>
        <v>#REF!</v>
      </c>
      <c r="M14" t="e">
        <f>Sheet4!#REF!</f>
        <v>#REF!</v>
      </c>
    </row>
    <row r="15" spans="3:16" x14ac:dyDescent="0.3">
      <c r="C15" s="8" t="s">
        <v>64</v>
      </c>
      <c r="D15">
        <v>150000</v>
      </c>
      <c r="G15" s="8" t="s">
        <v>26</v>
      </c>
      <c r="H15">
        <v>4</v>
      </c>
      <c r="I15">
        <v>25</v>
      </c>
      <c r="K15" t="e">
        <f>Sheet4!#REF!</f>
        <v>#REF!</v>
      </c>
      <c r="L15" t="e">
        <f>Sheet4!#REF!</f>
        <v>#REF!</v>
      </c>
      <c r="M15" t="e">
        <f>Sheet4!#REF!</f>
        <v>#REF!</v>
      </c>
    </row>
    <row r="16" spans="3:16" x14ac:dyDescent="0.3">
      <c r="C16" s="8" t="s">
        <v>65</v>
      </c>
      <c r="D16">
        <v>80000</v>
      </c>
      <c r="G16" s="8" t="s">
        <v>31</v>
      </c>
      <c r="H16">
        <v>4.0999999999999996</v>
      </c>
      <c r="I16">
        <v>25</v>
      </c>
      <c r="K16" t="e">
        <f>Sheet4!#REF!</f>
        <v>#REF!</v>
      </c>
      <c r="L16" t="e">
        <f>Sheet4!#REF!</f>
        <v>#REF!</v>
      </c>
      <c r="M16" t="e">
        <f>Sheet4!#REF!</f>
        <v>#REF!</v>
      </c>
    </row>
    <row r="17" spans="3:13" x14ac:dyDescent="0.3">
      <c r="C17" s="8" t="s">
        <v>66</v>
      </c>
      <c r="D17">
        <v>60000</v>
      </c>
      <c r="G17" s="8" t="s">
        <v>17</v>
      </c>
      <c r="H17">
        <v>4.2</v>
      </c>
      <c r="I17">
        <v>10</v>
      </c>
      <c r="K17" t="e">
        <f>Sheet4!#REF!</f>
        <v>#REF!</v>
      </c>
      <c r="L17" t="e">
        <f>Sheet4!#REF!</f>
        <v>#REF!</v>
      </c>
      <c r="M17" t="e">
        <f>Sheet4!#REF!</f>
        <v>#REF!</v>
      </c>
    </row>
    <row r="18" spans="3:13" x14ac:dyDescent="0.3">
      <c r="C18" s="8" t="s">
        <v>67</v>
      </c>
      <c r="D18">
        <v>120000</v>
      </c>
      <c r="G18" s="8" t="s">
        <v>29</v>
      </c>
      <c r="H18">
        <v>4.3</v>
      </c>
      <c r="I18">
        <v>8</v>
      </c>
      <c r="K18" t="e">
        <f>Sheet4!#REF!</f>
        <v>#REF!</v>
      </c>
      <c r="L18" t="e">
        <f>Sheet4!#REF!</f>
        <v>#REF!</v>
      </c>
      <c r="M18" t="e">
        <f>Sheet4!#REF!</f>
        <v>#REF!</v>
      </c>
    </row>
    <row r="19" spans="3:13" x14ac:dyDescent="0.3">
      <c r="C19" s="8" t="s">
        <v>68</v>
      </c>
      <c r="D19">
        <v>50000</v>
      </c>
      <c r="G19" s="8" t="s">
        <v>33</v>
      </c>
      <c r="H19">
        <v>4.4000000000000004</v>
      </c>
      <c r="I19">
        <v>12</v>
      </c>
      <c r="K19" t="e">
        <f>Sheet4!#REF!</f>
        <v>#REF!</v>
      </c>
      <c r="L19" t="e">
        <f>Sheet4!#REF!</f>
        <v>#REF!</v>
      </c>
      <c r="M19" t="e">
        <f>Sheet4!#REF!</f>
        <v>#REF!</v>
      </c>
    </row>
    <row r="20" spans="3:13" x14ac:dyDescent="0.3">
      <c r="C20" s="8" t="s">
        <v>69</v>
      </c>
      <c r="D20">
        <v>72000</v>
      </c>
      <c r="G20" s="8" t="s">
        <v>12</v>
      </c>
      <c r="H20">
        <v>4.55</v>
      </c>
      <c r="I20">
        <v>8</v>
      </c>
      <c r="K20" t="e">
        <f>Sheet4!#REF!</f>
        <v>#REF!</v>
      </c>
      <c r="L20" t="e">
        <f>Sheet4!#REF!</f>
        <v>#REF!</v>
      </c>
      <c r="M20" t="e">
        <f>Sheet4!#REF!</f>
        <v>#REF!</v>
      </c>
    </row>
    <row r="21" spans="3:13" x14ac:dyDescent="0.3">
      <c r="C21" s="8" t="s">
        <v>70</v>
      </c>
      <c r="D21">
        <v>150000</v>
      </c>
      <c r="G21" s="8" t="s">
        <v>61</v>
      </c>
      <c r="H21">
        <v>4.2</v>
      </c>
      <c r="I21">
        <v>126</v>
      </c>
    </row>
    <row r="22" spans="3:13" x14ac:dyDescent="0.3">
      <c r="C22" s="8" t="s">
        <v>71</v>
      </c>
      <c r="D22">
        <v>90000</v>
      </c>
    </row>
    <row r="23" spans="3:13" x14ac:dyDescent="0.3">
      <c r="C23" s="8" t="s">
        <v>72</v>
      </c>
      <c r="D23">
        <v>40000</v>
      </c>
    </row>
    <row r="24" spans="3:13" x14ac:dyDescent="0.3">
      <c r="C24" s="8" t="s">
        <v>61</v>
      </c>
      <c r="D24">
        <v>1062000</v>
      </c>
      <c r="J24" s="7" t="s">
        <v>60</v>
      </c>
      <c r="K24" t="s">
        <v>76</v>
      </c>
    </row>
    <row r="25" spans="3:13" x14ac:dyDescent="0.3">
      <c r="J25" s="8" t="s">
        <v>13</v>
      </c>
      <c r="K25" s="5">
        <v>1.3137254901960784</v>
      </c>
    </row>
    <row r="26" spans="3:13" x14ac:dyDescent="0.3">
      <c r="J26" s="8" t="s">
        <v>22</v>
      </c>
      <c r="K26" s="5">
        <v>1.6923076923076923</v>
      </c>
    </row>
    <row r="27" spans="3:13" x14ac:dyDescent="0.3">
      <c r="J27" s="8" t="s">
        <v>27</v>
      </c>
      <c r="K27" s="5">
        <v>1.9111111111111112</v>
      </c>
    </row>
    <row r="28" spans="3:13" x14ac:dyDescent="0.3">
      <c r="J28" s="8" t="s">
        <v>61</v>
      </c>
      <c r="K28">
        <v>1.4547945205479451</v>
      </c>
    </row>
  </sheetData>
  <conditionalFormatting sqref="K14:M14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{0E5A307C-D0B1-4502-AB77-D689FBA544BF}</x14:id>
        </ext>
      </extLst>
    </cfRule>
  </conditionalFormatting>
  <conditionalFormatting sqref="K15:M2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{F670D55C-2FA8-424F-8CCE-A6D3A3DF67B2}</x14:id>
        </ext>
      </extLst>
    </cfRule>
  </conditionalFormatting>
  <conditionalFormatting sqref="L14:M14">
    <cfRule type="dataBar" priority="2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{7CFEFA33-D7FB-40C0-A079-1947B6B51922}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E5A307C-D0B1-4502-AB77-D689FBA544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K14:M14</xm:sqref>
        </x14:conditionalFormatting>
        <x14:conditionalFormatting xmlns:xm="http://schemas.microsoft.com/office/excel/2006/main">
          <x14:cfRule type="dataBar" id="{F670D55C-2FA8-424F-8CCE-A6D3A3DF67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K15:M20</xm:sqref>
        </x14:conditionalFormatting>
        <x14:conditionalFormatting xmlns:xm="http://schemas.microsoft.com/office/excel/2006/main">
          <x14:cfRule type="dataBar" id="{7CFEFA33-D7FB-40C0-A079-1947B6B519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L14:M14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Sales Data</vt:lpstr>
      <vt:lpstr>quests</vt:lpstr>
      <vt:lpstr>dashboard</vt:lpstr>
      <vt:lpstr>calc</vt:lpstr>
      <vt:lpstr>Sheet4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vishwaj668@outlook.com</cp:lastModifiedBy>
  <dcterms:created xsi:type="dcterms:W3CDTF">2026-04-16T11:41:38Z</dcterms:created>
  <dcterms:modified xsi:type="dcterms:W3CDTF">2026-06-19T10:58:21Z</dcterms:modified>
</cp:coreProperties>
</file>